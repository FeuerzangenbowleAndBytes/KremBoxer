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FS\Fire\FireEffects\TallTimbers_RxFireCollaborative\Data\Radiometer\Calibration\RIT\"/>
    </mc:Choice>
  </mc:AlternateContent>
  <xr:revisionPtr revIDLastSave="0" documentId="13_ncr:1_{841A1C5D-5A27-4C1D-B7EE-34833B95D132}" xr6:coauthVersionLast="47" xr6:coauthVersionMax="47" xr10:uidLastSave="{00000000-0000-0000-0000-000000000000}"/>
  <bookViews>
    <workbookView xWindow="-120" yWindow="-120" windowWidth="29040" windowHeight="15720" activeTab="2" xr2:uid="{EAF4A980-B924-4496-B764-98AF15C11A2D}"/>
  </bookViews>
  <sheets>
    <sheet name="DATALOG" sheetId="1" r:id="rId1"/>
    <sheet name="MT04" sheetId="2" r:id="rId2"/>
    <sheet name="Voltage vs Temp" sheetId="3" r:id="rId3"/>
  </sheets>
  <functionGroups builtInGroupCount="19"/>
  <definedNames>
    <definedName name="_xleta.AVERAGE" hidden="1" xlm="1">#NAME?</definedName>
    <definedName name="_xleta.T" hidden="1" xlm="1">#NAME?</definedName>
    <definedName name="LWpow">DATALOG!$P$2</definedName>
    <definedName name="MLpow">DATALOG!$N$2</definedName>
    <definedName name="MMpow">DATALOG!$M$2</definedName>
    <definedName name="MWpow">DATALOG!$O$2</definedName>
    <definedName name="solver_adj" localSheetId="0" hidden="1">DATALOG!$Q$2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DATALOG!$V$85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Wpow">DATALOG!$Q$2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" l="1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7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C26" i="1"/>
  <c r="C49" i="1"/>
  <c r="C96" i="1"/>
  <c r="C119" i="1"/>
  <c r="C165" i="1"/>
  <c r="C188" i="1"/>
  <c r="H211" i="1"/>
  <c r="D211" i="1"/>
  <c r="E211" i="1"/>
  <c r="F211" i="1"/>
  <c r="G211" i="1"/>
  <c r="C211" i="1"/>
  <c r="H188" i="1"/>
  <c r="D188" i="1"/>
  <c r="E188" i="1"/>
  <c r="F188" i="1"/>
  <c r="G188" i="1"/>
  <c r="H165" i="1"/>
  <c r="D165" i="1"/>
  <c r="E165" i="1"/>
  <c r="F165" i="1"/>
  <c r="G165" i="1"/>
  <c r="H142" i="1"/>
  <c r="D142" i="1"/>
  <c r="E142" i="1"/>
  <c r="F142" i="1"/>
  <c r="G142" i="1"/>
  <c r="C142" i="1"/>
  <c r="H119" i="1"/>
  <c r="D119" i="1"/>
  <c r="E119" i="1"/>
  <c r="F119" i="1"/>
  <c r="G119" i="1"/>
  <c r="H96" i="1"/>
  <c r="D96" i="1"/>
  <c r="E96" i="1"/>
  <c r="F96" i="1"/>
  <c r="G96" i="1"/>
  <c r="H73" i="1"/>
  <c r="D73" i="1"/>
  <c r="E73" i="1"/>
  <c r="F73" i="1"/>
  <c r="G73" i="1"/>
  <c r="C73" i="1"/>
  <c r="H49" i="1"/>
  <c r="D49" i="1"/>
  <c r="E49" i="1"/>
  <c r="F49" i="1"/>
  <c r="G49" i="1"/>
  <c r="D26" i="1"/>
  <c r="E26" i="1"/>
  <c r="F26" i="1"/>
  <c r="G26" i="1"/>
  <c r="H26" i="1"/>
  <c r="U75" i="1"/>
  <c r="U76" i="1" s="1"/>
  <c r="U77" i="1" s="1"/>
  <c r="U78" i="1" s="1"/>
  <c r="U79" i="1" s="1"/>
  <c r="U80" i="1" s="1"/>
  <c r="U81" i="1" s="1"/>
  <c r="U82" i="1" s="1"/>
  <c r="U59" i="1"/>
  <c r="U60" i="1" s="1"/>
  <c r="U61" i="1" s="1"/>
  <c r="U62" i="1" s="1"/>
  <c r="U63" i="1" s="1"/>
  <c r="U64" i="1" s="1"/>
  <c r="U65" i="1" s="1"/>
  <c r="U66" i="1" s="1"/>
  <c r="U43" i="1"/>
  <c r="U44" i="1" s="1"/>
  <c r="U45" i="1" s="1"/>
  <c r="U46" i="1" s="1"/>
  <c r="U47" i="1" s="1"/>
  <c r="U48" i="1" s="1"/>
  <c r="U49" i="1" s="1"/>
  <c r="U50" i="1" s="1"/>
  <c r="U27" i="1"/>
  <c r="U28" i="1" s="1"/>
  <c r="U29" i="1" s="1"/>
  <c r="U30" i="1" s="1"/>
  <c r="U31" i="1" s="1"/>
  <c r="U32" i="1" s="1"/>
  <c r="U33" i="1" s="1"/>
  <c r="U34" i="1" s="1"/>
  <c r="U12" i="1"/>
  <c r="U13" i="1"/>
  <c r="U14" i="1" s="1"/>
  <c r="U15" i="1" s="1"/>
  <c r="U16" i="1" s="1"/>
  <c r="U17" i="1" s="1"/>
  <c r="U18" i="1" s="1"/>
  <c r="U11" i="1"/>
  <c r="I7" i="1" a="1"/>
  <c r="I7" i="1" l="1"/>
  <c r="H190" i="1"/>
  <c r="H167" i="1"/>
  <c r="H144" i="1"/>
  <c r="H121" i="1"/>
  <c r="H98" i="1"/>
  <c r="H75" i="1"/>
  <c r="H51" i="1"/>
  <c r="H28" i="1"/>
  <c r="I130" i="1" a="1"/>
  <c r="J52" i="1" a="1"/>
  <c r="I209" i="1" a="1"/>
  <c r="J191" i="1" a="1"/>
  <c r="J209" i="1" a="1"/>
  <c r="I118" i="1" a="1"/>
  <c r="I10" i="1" a="1"/>
  <c r="I151" i="1" a="1"/>
  <c r="I202" i="1" a="1"/>
  <c r="I88" i="1" a="1"/>
  <c r="I44" i="1" a="1"/>
  <c r="I63" i="1" a="1"/>
  <c r="I85" i="1" a="1"/>
  <c r="J150" i="1" a="1"/>
  <c r="I164" i="1" a="1"/>
  <c r="I93" i="1" a="1"/>
  <c r="I205" i="1" a="1"/>
  <c r="I8" i="1" a="1"/>
  <c r="J106" i="1" a="1"/>
  <c r="I204" i="1" a="1"/>
  <c r="I196" i="1" a="1"/>
  <c r="I168" i="1" a="1"/>
  <c r="I125" i="1" a="1"/>
  <c r="I78" i="1" a="1"/>
  <c r="I163" i="1" a="1"/>
  <c r="J145" i="1" a="1"/>
  <c r="J20" i="1" a="1"/>
  <c r="I200" i="1" a="1"/>
  <c r="I113" i="1" a="1"/>
  <c r="J72" i="1" a="1"/>
  <c r="J199" i="1" a="1"/>
  <c r="J46" i="1" a="1"/>
  <c r="I115" i="1" a="1"/>
  <c r="I89" i="1" a="1"/>
  <c r="I15" i="1" a="1"/>
  <c r="I158" i="1" a="1"/>
  <c r="I176" i="1" a="1"/>
  <c r="J48" i="1" a="1"/>
  <c r="I92" i="1" a="1"/>
  <c r="I124" i="1" a="1"/>
  <c r="J198" i="1" a="1"/>
  <c r="J84" i="1" a="1"/>
  <c r="J156" i="1" a="1"/>
  <c r="I111" i="1" a="1"/>
  <c r="J42" i="1" a="1"/>
  <c r="J130" i="1" a="1"/>
  <c r="J132" i="1" a="1"/>
  <c r="I109" i="1" a="1"/>
  <c r="J206" i="1" a="1"/>
  <c r="I14" i="1" a="1"/>
  <c r="I104" i="1" a="1"/>
  <c r="J141" i="1" a="1"/>
  <c r="J177" i="1" a="1"/>
  <c r="J39" i="1" a="1"/>
  <c r="J37" i="1" a="1"/>
  <c r="J47" i="1" a="1"/>
  <c r="J126" i="1" a="1"/>
  <c r="J65" i="1" a="1"/>
  <c r="I179" i="1" a="1"/>
  <c r="I117" i="1" a="1"/>
  <c r="J18" i="1" a="1"/>
  <c r="I181" i="1" a="1"/>
  <c r="I23" i="1" a="1"/>
  <c r="I191" i="1" a="1"/>
  <c r="I38" i="1" a="1"/>
  <c r="I95" i="1" a="1"/>
  <c r="I30" i="1" a="1"/>
  <c r="I46" i="1" a="1"/>
  <c r="J78" i="1" a="1"/>
  <c r="I169" i="1" a="1"/>
  <c r="I198" i="1" a="1"/>
  <c r="I35" i="1" a="1"/>
  <c r="J21" i="1" a="1"/>
  <c r="I69" i="1" a="1"/>
  <c r="I62" i="1" a="1"/>
  <c r="J67" i="1" a="1"/>
  <c r="J128" i="1" a="1"/>
  <c r="J133" i="1" a="1"/>
  <c r="I208" i="1" a="1"/>
  <c r="I31" i="1" a="1"/>
  <c r="J100" i="1" a="1"/>
  <c r="I21" i="1" a="1"/>
  <c r="J54" i="1" a="1"/>
  <c r="I39" i="1" a="1"/>
  <c r="J192" i="1" a="1"/>
  <c r="I106" i="1" a="1"/>
  <c r="I76" i="1" a="1"/>
  <c r="J107" i="1" a="1"/>
  <c r="I71" i="1" a="1"/>
  <c r="I140" i="1" a="1"/>
  <c r="J16" i="1" a="1"/>
  <c r="J175" i="1" a="1"/>
  <c r="J148" i="1" a="1"/>
  <c r="I33" i="1" a="1"/>
  <c r="I123" i="1" a="1"/>
  <c r="J101" i="1" a="1"/>
  <c r="J118" i="1" a="1"/>
  <c r="I17" i="1" a="1"/>
  <c r="I32" i="1" a="1"/>
  <c r="J135" i="1" a="1"/>
  <c r="J66" i="1" a="1"/>
  <c r="J139" i="1" a="1"/>
  <c r="J152" i="1" a="1"/>
  <c r="I183" i="1" a="1"/>
  <c r="J99" i="1" a="1"/>
  <c r="J68" i="1" a="1"/>
  <c r="I64" i="1" a="1"/>
  <c r="J164" i="1" a="1"/>
  <c r="I149" i="1" a="1"/>
  <c r="I128" i="1" a="1"/>
  <c r="I132" i="1" a="1"/>
  <c r="I197" i="1" a="1"/>
  <c r="I81" i="1" a="1"/>
  <c r="J111" i="1" a="1"/>
  <c r="I18" i="1" a="1"/>
  <c r="I180" i="1" a="1"/>
  <c r="J76" i="1" a="1"/>
  <c r="J110" i="1" a="1"/>
  <c r="I178" i="1" a="1"/>
  <c r="I12" i="1" a="1"/>
  <c r="I201" i="1" a="1"/>
  <c r="J182" i="1" a="1"/>
  <c r="J197" i="1" a="1"/>
  <c r="J112" i="1" a="1"/>
  <c r="J86" i="1" a="1"/>
  <c r="I131" i="1" a="1"/>
  <c r="I101" i="1" a="1"/>
  <c r="J173" i="1" a="1"/>
  <c r="I72" i="1" a="1"/>
  <c r="J136" i="1" a="1"/>
  <c r="I80" i="1" a="1"/>
  <c r="I112" i="1" a="1"/>
  <c r="J56" i="1" a="1"/>
  <c r="J87" i="1" a="1"/>
  <c r="J43" i="1" a="1"/>
  <c r="J137" i="1" a="1"/>
  <c r="I20" i="1" a="1"/>
  <c r="J102" i="1" a="1"/>
  <c r="J92" i="1" a="1"/>
  <c r="J162" i="1" a="1"/>
  <c r="I29" i="1" a="1"/>
  <c r="I13" i="1" a="1"/>
  <c r="J180" i="1" a="1"/>
  <c r="I127" i="1" a="1"/>
  <c r="I45" i="1" a="1"/>
  <c r="J55" i="1" a="1"/>
  <c r="I55" i="1" a="1"/>
  <c r="J108" i="1" a="1"/>
  <c r="I108" i="1" a="1"/>
  <c r="J45" i="1" a="1"/>
  <c r="J147" i="1" a="1"/>
  <c r="I139" i="1" a="1"/>
  <c r="J186" i="1" a="1"/>
  <c r="J117" i="1" a="1"/>
  <c r="J53" i="1" a="1"/>
  <c r="I77" i="1" a="1"/>
  <c r="J104" i="1" a="1"/>
  <c r="I173" i="1" a="1"/>
  <c r="J202" i="1" a="1"/>
  <c r="J61" i="1" a="1"/>
  <c r="I40" i="1" a="1"/>
  <c r="I67" i="1" a="1"/>
  <c r="J69" i="1" a="1"/>
  <c r="I156" i="1" a="1"/>
  <c r="I147" i="1" a="1"/>
  <c r="I137" i="1" a="1"/>
  <c r="J80" i="1" a="1"/>
  <c r="I60" i="1" a="1"/>
  <c r="I42" i="1" a="1"/>
  <c r="J88" i="1" a="1"/>
  <c r="I11" i="1" a="1"/>
  <c r="I186" i="1" a="1"/>
  <c r="I91" i="1" a="1"/>
  <c r="I154" i="1" a="1"/>
  <c r="J172" i="1" a="1"/>
  <c r="I138" i="1" a="1"/>
  <c r="I135" i="1" a="1"/>
  <c r="J154" i="1" a="1"/>
  <c r="I22" i="1" a="1"/>
  <c r="I57" i="1" a="1"/>
  <c r="I171" i="1" a="1"/>
  <c r="I170" i="1" a="1"/>
  <c r="J81" i="1" a="1"/>
  <c r="I25" i="1" a="1"/>
  <c r="I90" i="1" a="1"/>
  <c r="I59" i="1" a="1"/>
  <c r="I210" i="1" a="1"/>
  <c r="J29" i="1" a="1"/>
  <c r="J210" i="1" a="1"/>
  <c r="I19" i="1" a="1"/>
  <c r="I172" i="1" a="1"/>
  <c r="J83" i="1" a="1"/>
  <c r="J163" i="1" a="1"/>
  <c r="I206" i="1" a="1"/>
  <c r="I105" i="1" a="1"/>
  <c r="J22" i="1" a="1"/>
  <c r="J8" i="1" a="1"/>
  <c r="J41" i="1" a="1"/>
  <c r="J17" i="1" a="1"/>
  <c r="I94" i="1" a="1"/>
  <c r="J113" i="1" a="1"/>
  <c r="J60" i="1" a="1"/>
  <c r="I126" i="1" a="1"/>
  <c r="J134" i="1" a="1"/>
  <c r="J179" i="1" a="1"/>
  <c r="J19" i="1" a="1"/>
  <c r="J32" i="1" a="1"/>
  <c r="I37" i="1" a="1"/>
  <c r="J57" i="1" a="1"/>
  <c r="J138" i="1" a="1"/>
  <c r="J170" i="1" a="1"/>
  <c r="J187" i="1" a="1"/>
  <c r="J30" i="1" a="1"/>
  <c r="J9" i="1" a="1"/>
  <c r="J155" i="1" a="1"/>
  <c r="I68" i="1" a="1"/>
  <c r="J90" i="1" a="1"/>
  <c r="J153" i="1" a="1"/>
  <c r="J25" i="1" a="1"/>
  <c r="J11" i="1" a="1"/>
  <c r="J93" i="1" a="1"/>
  <c r="J24" i="1" a="1"/>
  <c r="I150" i="1" a="1"/>
  <c r="I66" i="1" a="1"/>
  <c r="J183" i="1" a="1"/>
  <c r="J10" i="1" a="1"/>
  <c r="I174" i="1" a="1"/>
  <c r="J123" i="1" a="1"/>
  <c r="J185" i="1" a="1"/>
  <c r="I175" i="1" a="1"/>
  <c r="I161" i="1" a="1"/>
  <c r="I122" i="1" a="1"/>
  <c r="I87" i="1" a="1"/>
  <c r="I177" i="1" a="1"/>
  <c r="J181" i="1" a="1"/>
  <c r="J115" i="1" a="1"/>
  <c r="J149" i="1" a="1"/>
  <c r="I162" i="1" a="1"/>
  <c r="J116" i="1" a="1"/>
  <c r="J125" i="1" a="1"/>
  <c r="I103" i="1" a="1"/>
  <c r="I152" i="1" a="1"/>
  <c r="I36" i="1" a="1"/>
  <c r="J184" i="1" a="1"/>
  <c r="J168" i="1" a="1"/>
  <c r="I129" i="1" a="1"/>
  <c r="I114" i="1" a="1"/>
  <c r="J169" i="1" a="1"/>
  <c r="J23" i="1" a="1"/>
  <c r="J36" i="1" a="1"/>
  <c r="I70" i="1" a="1"/>
  <c r="I110" i="1" a="1"/>
  <c r="J203" i="1" a="1"/>
  <c r="I116" i="1" a="1"/>
  <c r="J15" i="1" a="1"/>
  <c r="I187" i="1" a="1"/>
  <c r="J82" i="1" a="1"/>
  <c r="J95" i="1" a="1"/>
  <c r="I203" i="1" a="1"/>
  <c r="I65" i="1" a="1"/>
  <c r="J58" i="1" a="1"/>
  <c r="J129" i="1" a="1"/>
  <c r="J114" i="1" a="1"/>
  <c r="I146" i="1" a="1"/>
  <c r="I79" i="1" a="1"/>
  <c r="J127" i="1" a="1"/>
  <c r="J31" i="1" a="1"/>
  <c r="I184" i="1" a="1"/>
  <c r="I16" i="1" a="1"/>
  <c r="J196" i="1" a="1"/>
  <c r="I192" i="1" a="1"/>
  <c r="J146" i="1" a="1"/>
  <c r="J140" i="1" a="1"/>
  <c r="J208" i="1" a="1"/>
  <c r="J205" i="1" a="1"/>
  <c r="I134" i="1" a="1"/>
  <c r="J91" i="1" a="1"/>
  <c r="J77" i="1" a="1"/>
  <c r="J13" i="1" a="1"/>
  <c r="J178" i="1" a="1"/>
  <c r="J204" i="1" a="1"/>
  <c r="I9" i="1" a="1"/>
  <c r="I84" i="1" a="1"/>
  <c r="J159" i="1" a="1"/>
  <c r="I61" i="1" a="1"/>
  <c r="J38" i="1" a="1"/>
  <c r="I148" i="1" a="1"/>
  <c r="J171" i="1" a="1"/>
  <c r="J33" i="1" a="1"/>
  <c r="I41" i="1" a="1"/>
  <c r="J12" i="1" a="1"/>
  <c r="I48" i="1" a="1"/>
  <c r="I102" i="1" a="1"/>
  <c r="I136" i="1" a="1"/>
  <c r="J7" i="1" a="1"/>
  <c r="I207" i="1" a="1"/>
  <c r="J174" i="1" a="1"/>
  <c r="I43" i="1" a="1"/>
  <c r="I47" i="1" a="1"/>
  <c r="J109" i="1" a="1"/>
  <c r="J131" i="1" a="1"/>
  <c r="I141" i="1" a="1"/>
  <c r="I193" i="1" a="1"/>
  <c r="I99" i="1" a="1"/>
  <c r="J193" i="1" a="1"/>
  <c r="I155" i="1" a="1"/>
  <c r="J160" i="1" a="1"/>
  <c r="J44" i="1" a="1"/>
  <c r="J14" i="1" a="1"/>
  <c r="I86" i="1" a="1"/>
  <c r="J176" i="1" a="1"/>
  <c r="J195" i="1" a="1"/>
  <c r="J194" i="1" a="1"/>
  <c r="I24" i="1" a="1"/>
  <c r="I157" i="1" a="1"/>
  <c r="I107" i="1" a="1"/>
  <c r="I34" i="1" a="1"/>
  <c r="J200" i="1" a="1"/>
  <c r="I145" i="1" a="1"/>
  <c r="J201" i="1" a="1"/>
  <c r="J59" i="1" a="1"/>
  <c r="J122" i="1" a="1"/>
  <c r="J71" i="1" a="1"/>
  <c r="J64" i="1" a="1"/>
  <c r="J34" i="1" a="1"/>
  <c r="I56" i="1" a="1"/>
  <c r="J89" i="1" a="1"/>
  <c r="J161" i="1" a="1"/>
  <c r="J151" i="1" a="1"/>
  <c r="J70" i="1" a="1"/>
  <c r="I100" i="1" a="1"/>
  <c r="J158" i="1" a="1"/>
  <c r="J40" i="1" a="1"/>
  <c r="I133" i="1" a="1"/>
  <c r="J207" i="1" a="1"/>
  <c r="J79" i="1" a="1"/>
  <c r="J103" i="1" a="1"/>
  <c r="J157" i="1" a="1"/>
  <c r="J94" i="1" a="1"/>
  <c r="J62" i="1" a="1"/>
  <c r="I199" i="1" a="1"/>
  <c r="I159" i="1" a="1"/>
  <c r="I54" i="1" a="1"/>
  <c r="J63" i="1" a="1"/>
  <c r="I82" i="1" a="1"/>
  <c r="I195" i="1" a="1"/>
  <c r="I160" i="1" a="1"/>
  <c r="J35" i="1" a="1"/>
  <c r="J85" i="1" a="1"/>
  <c r="I52" i="1" a="1"/>
  <c r="J124" i="1" a="1"/>
  <c r="I153" i="1" a="1"/>
  <c r="J105" i="1" a="1"/>
  <c r="I83" i="1" a="1"/>
  <c r="I182" i="1" a="1"/>
  <c r="I185" i="1" a="1"/>
  <c r="I58" i="1" a="1"/>
  <c r="I53" i="1" a="1"/>
  <c r="I194" i="1" a="1"/>
  <c r="M7" i="1" l="1"/>
  <c r="N7" i="1"/>
  <c r="S7" i="1"/>
  <c r="J178" i="1"/>
  <c r="O178" i="1" s="1"/>
  <c r="J164" i="1"/>
  <c r="O164" i="1" s="1"/>
  <c r="J146" i="1"/>
  <c r="O146" i="1" s="1"/>
  <c r="J209" i="1"/>
  <c r="P209" i="1" s="1"/>
  <c r="J203" i="1"/>
  <c r="P203" i="1" s="1"/>
  <c r="J197" i="1"/>
  <c r="O197" i="1" s="1"/>
  <c r="J191" i="1"/>
  <c r="J183" i="1"/>
  <c r="P183" i="1" s="1"/>
  <c r="J177" i="1"/>
  <c r="O177" i="1" s="1"/>
  <c r="J171" i="1"/>
  <c r="P171" i="1" s="1"/>
  <c r="J163" i="1"/>
  <c r="O163" i="1" s="1"/>
  <c r="J157" i="1"/>
  <c r="P157" i="1" s="1"/>
  <c r="J151" i="1"/>
  <c r="P151" i="1" s="1"/>
  <c r="J145" i="1"/>
  <c r="J137" i="1"/>
  <c r="P137" i="1" s="1"/>
  <c r="J131" i="1"/>
  <c r="P131" i="1" s="1"/>
  <c r="J125" i="1"/>
  <c r="O125" i="1" s="1"/>
  <c r="J117" i="1"/>
  <c r="P117" i="1" s="1"/>
  <c r="J111" i="1"/>
  <c r="P111" i="1" s="1"/>
  <c r="J105" i="1"/>
  <c r="P105" i="1" s="1"/>
  <c r="J99" i="1"/>
  <c r="J91" i="1"/>
  <c r="J85" i="1"/>
  <c r="J79" i="1"/>
  <c r="J71" i="1"/>
  <c r="O71" i="1" s="1"/>
  <c r="J65" i="1"/>
  <c r="O65" i="1" s="1"/>
  <c r="J59" i="1"/>
  <c r="O59" i="1" s="1"/>
  <c r="J53" i="1"/>
  <c r="O53" i="1" s="1"/>
  <c r="J45" i="1"/>
  <c r="J39" i="1"/>
  <c r="J33" i="1"/>
  <c r="J25" i="1"/>
  <c r="J19" i="1"/>
  <c r="J13" i="1"/>
  <c r="J204" i="1"/>
  <c r="O204" i="1" s="1"/>
  <c r="J208" i="1"/>
  <c r="O208" i="1" s="1"/>
  <c r="J176" i="1"/>
  <c r="O176" i="1" s="1"/>
  <c r="J150" i="1"/>
  <c r="P150" i="1" s="1"/>
  <c r="J136" i="1"/>
  <c r="P136" i="1" s="1"/>
  <c r="J124" i="1"/>
  <c r="P124" i="1" s="1"/>
  <c r="J116" i="1"/>
  <c r="O116" i="1" s="1"/>
  <c r="J110" i="1"/>
  <c r="O110" i="1" s="1"/>
  <c r="J104" i="1"/>
  <c r="O104" i="1" s="1"/>
  <c r="J90" i="1"/>
  <c r="J84" i="1"/>
  <c r="J78" i="1"/>
  <c r="J70" i="1"/>
  <c r="O70" i="1" s="1"/>
  <c r="J64" i="1"/>
  <c r="P64" i="1" s="1"/>
  <c r="J58" i="1"/>
  <c r="P58" i="1" s="1"/>
  <c r="J52" i="1"/>
  <c r="J44" i="1"/>
  <c r="J38" i="1"/>
  <c r="J32" i="1"/>
  <c r="J24" i="1"/>
  <c r="J18" i="1"/>
  <c r="J12" i="1"/>
  <c r="J192" i="1"/>
  <c r="P192" i="1" s="1"/>
  <c r="J196" i="1"/>
  <c r="O196" i="1" s="1"/>
  <c r="J170" i="1"/>
  <c r="P170" i="1" s="1"/>
  <c r="J195" i="1"/>
  <c r="P195" i="1" s="1"/>
  <c r="J169" i="1"/>
  <c r="P169" i="1" s="1"/>
  <c r="J141" i="1"/>
  <c r="O141" i="1" s="1"/>
  <c r="J115" i="1"/>
  <c r="P115" i="1" s="1"/>
  <c r="J77" i="1"/>
  <c r="P77" i="1" s="1"/>
  <c r="J17" i="1"/>
  <c r="J156" i="1"/>
  <c r="O156" i="1" s="1"/>
  <c r="J207" i="1"/>
  <c r="O207" i="1" s="1"/>
  <c r="J187" i="1"/>
  <c r="O187" i="1" s="1"/>
  <c r="J175" i="1"/>
  <c r="P175" i="1" s="1"/>
  <c r="J161" i="1"/>
  <c r="O161" i="1" s="1"/>
  <c r="J149" i="1"/>
  <c r="P149" i="1" s="1"/>
  <c r="J129" i="1"/>
  <c r="O129" i="1" s="1"/>
  <c r="J123" i="1"/>
  <c r="O123" i="1" s="1"/>
  <c r="J109" i="1"/>
  <c r="P109" i="1" s="1"/>
  <c r="J95" i="1"/>
  <c r="J89" i="1"/>
  <c r="J83" i="1"/>
  <c r="J69" i="1"/>
  <c r="O69" i="1" s="1"/>
  <c r="J63" i="1"/>
  <c r="P63" i="1" s="1"/>
  <c r="J57" i="1"/>
  <c r="O57" i="1" s="1"/>
  <c r="J43" i="1"/>
  <c r="J37" i="1"/>
  <c r="J31" i="1"/>
  <c r="J23" i="1"/>
  <c r="J11" i="1"/>
  <c r="J198" i="1"/>
  <c r="O198" i="1" s="1"/>
  <c r="J182" i="1"/>
  <c r="O182" i="1" s="1"/>
  <c r="J201" i="1"/>
  <c r="P201" i="1" s="1"/>
  <c r="J181" i="1"/>
  <c r="O181" i="1" s="1"/>
  <c r="J155" i="1"/>
  <c r="P155" i="1" s="1"/>
  <c r="J135" i="1"/>
  <c r="O135" i="1" s="1"/>
  <c r="J103" i="1"/>
  <c r="P103" i="1" s="1"/>
  <c r="J206" i="1"/>
  <c r="O206" i="1" s="1"/>
  <c r="J200" i="1"/>
  <c r="O200" i="1" s="1"/>
  <c r="J194" i="1"/>
  <c r="P194" i="1" s="1"/>
  <c r="J186" i="1"/>
  <c r="P186" i="1" s="1"/>
  <c r="J180" i="1"/>
  <c r="P180" i="1" s="1"/>
  <c r="J174" i="1"/>
  <c r="P174" i="1" s="1"/>
  <c r="J168" i="1"/>
  <c r="J160" i="1"/>
  <c r="P160" i="1" s="1"/>
  <c r="J154" i="1"/>
  <c r="P154" i="1" s="1"/>
  <c r="J148" i="1"/>
  <c r="P148" i="1" s="1"/>
  <c r="J140" i="1"/>
  <c r="O140" i="1" s="1"/>
  <c r="J134" i="1"/>
  <c r="P134" i="1" s="1"/>
  <c r="J128" i="1"/>
  <c r="P128" i="1" s="1"/>
  <c r="J122" i="1"/>
  <c r="J114" i="1"/>
  <c r="P114" i="1" s="1"/>
  <c r="J108" i="1"/>
  <c r="O108" i="1" s="1"/>
  <c r="J102" i="1"/>
  <c r="P102" i="1" s="1"/>
  <c r="J94" i="1"/>
  <c r="J88" i="1"/>
  <c r="J82" i="1"/>
  <c r="J76" i="1"/>
  <c r="J68" i="1"/>
  <c r="P68" i="1" s="1"/>
  <c r="J62" i="1"/>
  <c r="P62" i="1" s="1"/>
  <c r="J56" i="1"/>
  <c r="P56" i="1" s="1"/>
  <c r="J48" i="1"/>
  <c r="J42" i="1"/>
  <c r="J36" i="1"/>
  <c r="J30" i="1"/>
  <c r="J22" i="1"/>
  <c r="J16" i="1"/>
  <c r="J10" i="1"/>
  <c r="J184" i="1"/>
  <c r="P184" i="1" s="1"/>
  <c r="J202" i="1"/>
  <c r="P202" i="1" s="1"/>
  <c r="J162" i="1"/>
  <c r="P162" i="1" s="1"/>
  <c r="J130" i="1"/>
  <c r="P130" i="1" s="1"/>
  <c r="J205" i="1"/>
  <c r="O205" i="1" s="1"/>
  <c r="J199" i="1"/>
  <c r="O199" i="1" s="1"/>
  <c r="J193" i="1"/>
  <c r="P193" i="1" s="1"/>
  <c r="J185" i="1"/>
  <c r="O185" i="1" s="1"/>
  <c r="J179" i="1"/>
  <c r="O179" i="1" s="1"/>
  <c r="J173" i="1"/>
  <c r="O173" i="1" s="1"/>
  <c r="J159" i="1"/>
  <c r="O159" i="1" s="1"/>
  <c r="J153" i="1"/>
  <c r="O153" i="1" s="1"/>
  <c r="J147" i="1"/>
  <c r="P147" i="1" s="1"/>
  <c r="J139" i="1"/>
  <c r="O139" i="1" s="1"/>
  <c r="J133" i="1"/>
  <c r="P133" i="1" s="1"/>
  <c r="J127" i="1"/>
  <c r="O127" i="1" s="1"/>
  <c r="J113" i="1"/>
  <c r="P113" i="1" s="1"/>
  <c r="J107" i="1"/>
  <c r="P107" i="1" s="1"/>
  <c r="J101" i="1"/>
  <c r="O101" i="1" s="1"/>
  <c r="J93" i="1"/>
  <c r="J87" i="1"/>
  <c r="J81" i="1"/>
  <c r="J67" i="1"/>
  <c r="O67" i="1" s="1"/>
  <c r="J61" i="1"/>
  <c r="O61" i="1" s="1"/>
  <c r="J55" i="1"/>
  <c r="O55" i="1" s="1"/>
  <c r="J47" i="1"/>
  <c r="J41" i="1"/>
  <c r="J35" i="1"/>
  <c r="J29" i="1"/>
  <c r="J21" i="1"/>
  <c r="J15" i="1"/>
  <c r="J9" i="1"/>
  <c r="J210" i="1"/>
  <c r="P210" i="1" s="1"/>
  <c r="J172" i="1"/>
  <c r="P172" i="1" s="1"/>
  <c r="J158" i="1"/>
  <c r="P158" i="1" s="1"/>
  <c r="J152" i="1"/>
  <c r="P152" i="1" s="1"/>
  <c r="J138" i="1"/>
  <c r="O138" i="1" s="1"/>
  <c r="J132" i="1"/>
  <c r="P132" i="1" s="1"/>
  <c r="J126" i="1"/>
  <c r="O126" i="1" s="1"/>
  <c r="J118" i="1"/>
  <c r="O118" i="1" s="1"/>
  <c r="J112" i="1"/>
  <c r="P112" i="1" s="1"/>
  <c r="J106" i="1"/>
  <c r="O106" i="1" s="1"/>
  <c r="J100" i="1"/>
  <c r="O100" i="1" s="1"/>
  <c r="J92" i="1"/>
  <c r="J86" i="1"/>
  <c r="J80" i="1"/>
  <c r="J72" i="1"/>
  <c r="P72" i="1" s="1"/>
  <c r="J66" i="1"/>
  <c r="P66" i="1" s="1"/>
  <c r="J60" i="1"/>
  <c r="P60" i="1" s="1"/>
  <c r="J54" i="1"/>
  <c r="P54" i="1" s="1"/>
  <c r="J46" i="1"/>
  <c r="J40" i="1"/>
  <c r="J34" i="1"/>
  <c r="J20" i="1"/>
  <c r="J14" i="1"/>
  <c r="J8" i="1"/>
  <c r="J7" i="1"/>
  <c r="I204" i="1"/>
  <c r="I192" i="1"/>
  <c r="N192" i="1" s="1"/>
  <c r="I178" i="1"/>
  <c r="N178" i="1" s="1"/>
  <c r="I164" i="1"/>
  <c r="I152" i="1"/>
  <c r="I138" i="1"/>
  <c r="N138" i="1" s="1"/>
  <c r="I132" i="1"/>
  <c r="N132" i="1" s="1"/>
  <c r="I126" i="1"/>
  <c r="N126" i="1" s="1"/>
  <c r="I118" i="1"/>
  <c r="N118" i="1" s="1"/>
  <c r="I112" i="1"/>
  <c r="N112" i="1" s="1"/>
  <c r="I106" i="1"/>
  <c r="N106" i="1" s="1"/>
  <c r="I100" i="1"/>
  <c r="N100" i="1" s="1"/>
  <c r="I92" i="1"/>
  <c r="N92" i="1" s="1"/>
  <c r="I86" i="1"/>
  <c r="N86" i="1" s="1"/>
  <c r="I80" i="1"/>
  <c r="N80" i="1" s="1"/>
  <c r="I72" i="1"/>
  <c r="I66" i="1"/>
  <c r="I60" i="1"/>
  <c r="N60" i="1" s="1"/>
  <c r="I46" i="1"/>
  <c r="N46" i="1" s="1"/>
  <c r="I40" i="1"/>
  <c r="N40" i="1" s="1"/>
  <c r="I34" i="1"/>
  <c r="N34" i="1" s="1"/>
  <c r="I210" i="1"/>
  <c r="N210" i="1" s="1"/>
  <c r="I198" i="1"/>
  <c r="I184" i="1"/>
  <c r="I172" i="1"/>
  <c r="I158" i="1"/>
  <c r="I146" i="1"/>
  <c r="I209" i="1"/>
  <c r="I203" i="1"/>
  <c r="I197" i="1"/>
  <c r="I191" i="1"/>
  <c r="I183" i="1"/>
  <c r="N183" i="1" s="1"/>
  <c r="I177" i="1"/>
  <c r="N177" i="1" s="1"/>
  <c r="I171" i="1"/>
  <c r="N171" i="1" s="1"/>
  <c r="I163" i="1"/>
  <c r="N163" i="1" s="1"/>
  <c r="I157" i="1"/>
  <c r="I151" i="1"/>
  <c r="I145" i="1"/>
  <c r="I165" i="1" s="1"/>
  <c r="I137" i="1"/>
  <c r="N137" i="1" s="1"/>
  <c r="I131" i="1"/>
  <c r="I125" i="1"/>
  <c r="N125" i="1" s="1"/>
  <c r="I117" i="1"/>
  <c r="I111" i="1"/>
  <c r="M111" i="1" s="1"/>
  <c r="I105" i="1"/>
  <c r="I99" i="1"/>
  <c r="I91" i="1"/>
  <c r="N91" i="1" s="1"/>
  <c r="I85" i="1"/>
  <c r="I79" i="1"/>
  <c r="N79" i="1" s="1"/>
  <c r="I71" i="1"/>
  <c r="N71" i="1" s="1"/>
  <c r="I65" i="1"/>
  <c r="N65" i="1" s="1"/>
  <c r="I59" i="1"/>
  <c r="N59" i="1" s="1"/>
  <c r="I53" i="1"/>
  <c r="I45" i="1"/>
  <c r="N45" i="1" s="1"/>
  <c r="I39" i="1"/>
  <c r="N39" i="1" s="1"/>
  <c r="I33" i="1"/>
  <c r="N33" i="1" s="1"/>
  <c r="I38" i="1"/>
  <c r="N38" i="1" s="1"/>
  <c r="I182" i="1"/>
  <c r="N182" i="1" s="1"/>
  <c r="I156" i="1"/>
  <c r="I130" i="1"/>
  <c r="I110" i="1"/>
  <c r="I90" i="1"/>
  <c r="N90" i="1" s="1"/>
  <c r="I78" i="1"/>
  <c r="N78" i="1" s="1"/>
  <c r="I70" i="1"/>
  <c r="N70" i="1" s="1"/>
  <c r="I58" i="1"/>
  <c r="I44" i="1"/>
  <c r="N44" i="1" s="1"/>
  <c r="I32" i="1"/>
  <c r="N32" i="1" s="1"/>
  <c r="I208" i="1"/>
  <c r="N208" i="1" s="1"/>
  <c r="I162" i="1"/>
  <c r="I116" i="1"/>
  <c r="I64" i="1"/>
  <c r="N64" i="1" s="1"/>
  <c r="I195" i="1"/>
  <c r="N195" i="1" s="1"/>
  <c r="I181" i="1"/>
  <c r="I169" i="1"/>
  <c r="I155" i="1"/>
  <c r="I149" i="1"/>
  <c r="I135" i="1"/>
  <c r="I129" i="1"/>
  <c r="N129" i="1" s="1"/>
  <c r="I123" i="1"/>
  <c r="I115" i="1"/>
  <c r="N115" i="1" s="1"/>
  <c r="I109" i="1"/>
  <c r="N109" i="1" s="1"/>
  <c r="I103" i="1"/>
  <c r="N103" i="1" s="1"/>
  <c r="I95" i="1"/>
  <c r="N95" i="1" s="1"/>
  <c r="I83" i="1"/>
  <c r="N83" i="1" s="1"/>
  <c r="I77" i="1"/>
  <c r="I69" i="1"/>
  <c r="I63" i="1"/>
  <c r="N63" i="1" s="1"/>
  <c r="I57" i="1"/>
  <c r="N57" i="1" s="1"/>
  <c r="I43" i="1"/>
  <c r="N43" i="1" s="1"/>
  <c r="I37" i="1"/>
  <c r="N37" i="1" s="1"/>
  <c r="I31" i="1"/>
  <c r="N31" i="1" s="1"/>
  <c r="I196" i="1"/>
  <c r="I170" i="1"/>
  <c r="N170" i="1" s="1"/>
  <c r="I136" i="1"/>
  <c r="I104" i="1"/>
  <c r="I52" i="1"/>
  <c r="I73" i="1" s="1"/>
  <c r="I207" i="1"/>
  <c r="I201" i="1"/>
  <c r="I187" i="1"/>
  <c r="I175" i="1"/>
  <c r="I161" i="1"/>
  <c r="I141" i="1"/>
  <c r="I89" i="1"/>
  <c r="N89" i="1" s="1"/>
  <c r="I202" i="1"/>
  <c r="I176" i="1"/>
  <c r="I150" i="1"/>
  <c r="I124" i="1"/>
  <c r="I84" i="1"/>
  <c r="N84" i="1" s="1"/>
  <c r="I206" i="1"/>
  <c r="I200" i="1"/>
  <c r="N200" i="1" s="1"/>
  <c r="I194" i="1"/>
  <c r="I186" i="1"/>
  <c r="N186" i="1" s="1"/>
  <c r="I180" i="1"/>
  <c r="I174" i="1"/>
  <c r="I168" i="1"/>
  <c r="I160" i="1"/>
  <c r="I154" i="1"/>
  <c r="I148" i="1"/>
  <c r="I140" i="1"/>
  <c r="N140" i="1" s="1"/>
  <c r="I134" i="1"/>
  <c r="I128" i="1"/>
  <c r="N128" i="1" s="1"/>
  <c r="I122" i="1"/>
  <c r="I114" i="1"/>
  <c r="I108" i="1"/>
  <c r="I102" i="1"/>
  <c r="N102" i="1" s="1"/>
  <c r="I94" i="1"/>
  <c r="N94" i="1" s="1"/>
  <c r="I88" i="1"/>
  <c r="N88" i="1" s="1"/>
  <c r="I82" i="1"/>
  <c r="N82" i="1" s="1"/>
  <c r="I76" i="1"/>
  <c r="I68" i="1"/>
  <c r="I62" i="1"/>
  <c r="I56" i="1"/>
  <c r="I48" i="1"/>
  <c r="N48" i="1" s="1"/>
  <c r="I42" i="1"/>
  <c r="N42" i="1" s="1"/>
  <c r="I36" i="1"/>
  <c r="N36" i="1" s="1"/>
  <c r="I30" i="1"/>
  <c r="I199" i="1"/>
  <c r="I185" i="1"/>
  <c r="N185" i="1" s="1"/>
  <c r="I173" i="1"/>
  <c r="M173" i="1" s="1"/>
  <c r="I159" i="1"/>
  <c r="I147" i="1"/>
  <c r="I133" i="1"/>
  <c r="N133" i="1" s="1"/>
  <c r="I113" i="1"/>
  <c r="N113" i="1" s="1"/>
  <c r="I107" i="1"/>
  <c r="I101" i="1"/>
  <c r="I93" i="1"/>
  <c r="N93" i="1" s="1"/>
  <c r="I87" i="1"/>
  <c r="N87" i="1" s="1"/>
  <c r="I67" i="1"/>
  <c r="I61" i="1"/>
  <c r="I55" i="1"/>
  <c r="I47" i="1"/>
  <c r="N47" i="1" s="1"/>
  <c r="I41" i="1"/>
  <c r="N41" i="1" s="1"/>
  <c r="I35" i="1"/>
  <c r="N35" i="1" s="1"/>
  <c r="I29" i="1"/>
  <c r="I205" i="1"/>
  <c r="I193" i="1"/>
  <c r="I179" i="1"/>
  <c r="I153" i="1"/>
  <c r="I139" i="1"/>
  <c r="N139" i="1" s="1"/>
  <c r="I127" i="1"/>
  <c r="N127" i="1" s="1"/>
  <c r="I81" i="1"/>
  <c r="N81" i="1" s="1"/>
  <c r="I54" i="1"/>
  <c r="N54" i="1" s="1"/>
  <c r="I19" i="1"/>
  <c r="N19" i="1" s="1"/>
  <c r="I12" i="1"/>
  <c r="I22" i="1"/>
  <c r="N22" i="1" s="1"/>
  <c r="I8" i="1"/>
  <c r="M8" i="1" s="1"/>
  <c r="I13" i="1"/>
  <c r="I23" i="1"/>
  <c r="N23" i="1" s="1"/>
  <c r="I9" i="1"/>
  <c r="I14" i="1"/>
  <c r="I21" i="1"/>
  <c r="N21" i="1" s="1"/>
  <c r="I24" i="1"/>
  <c r="N24" i="1" s="1"/>
  <c r="I10" i="1"/>
  <c r="I15" i="1"/>
  <c r="N15" i="1" s="1"/>
  <c r="I25" i="1"/>
  <c r="N25" i="1" s="1"/>
  <c r="I18" i="1"/>
  <c r="N18" i="1" s="1"/>
  <c r="I11" i="1"/>
  <c r="I16" i="1"/>
  <c r="N16" i="1" s="1"/>
  <c r="I20" i="1"/>
  <c r="N20" i="1" s="1"/>
  <c r="I17" i="1"/>
  <c r="N17" i="1" s="1"/>
  <c r="O122" i="1" l="1"/>
  <c r="J142" i="1"/>
  <c r="O52" i="1"/>
  <c r="J73" i="1"/>
  <c r="N122" i="1"/>
  <c r="I142" i="1"/>
  <c r="O168" i="1"/>
  <c r="J188" i="1"/>
  <c r="P7" i="1"/>
  <c r="O7" i="1"/>
  <c r="J26" i="1"/>
  <c r="J49" i="1"/>
  <c r="O99" i="1"/>
  <c r="J119" i="1"/>
  <c r="I211" i="1"/>
  <c r="I188" i="1"/>
  <c r="O145" i="1"/>
  <c r="J165" i="1"/>
  <c r="P191" i="1"/>
  <c r="J211" i="1"/>
  <c r="I119" i="1"/>
  <c r="J96" i="1"/>
  <c r="N76" i="1"/>
  <c r="I96" i="1"/>
  <c r="P178" i="1"/>
  <c r="N29" i="1"/>
  <c r="I49" i="1"/>
  <c r="I26" i="1"/>
  <c r="K68" i="1"/>
  <c r="Q68" i="1" s="1"/>
  <c r="N68" i="1"/>
  <c r="K116" i="1"/>
  <c r="Q116" i="1" s="1"/>
  <c r="N116" i="1"/>
  <c r="K159" i="1"/>
  <c r="Q159" i="1" s="1"/>
  <c r="N159" i="1"/>
  <c r="K123" i="1"/>
  <c r="Q123" i="1" s="1"/>
  <c r="N123" i="1"/>
  <c r="K117" i="1"/>
  <c r="Q117" i="1" s="1"/>
  <c r="N117" i="1"/>
  <c r="K141" i="1"/>
  <c r="Q141" i="1" s="1"/>
  <c r="N141" i="1"/>
  <c r="K61" i="1"/>
  <c r="Q61" i="1" s="1"/>
  <c r="N61" i="1"/>
  <c r="K180" i="1"/>
  <c r="Q180" i="1" s="1"/>
  <c r="N180" i="1"/>
  <c r="K135" i="1"/>
  <c r="Q135" i="1" s="1"/>
  <c r="N135" i="1"/>
  <c r="M30" i="1"/>
  <c r="N30" i="1"/>
  <c r="N50" i="1" s="1"/>
  <c r="M175" i="1"/>
  <c r="N175" i="1"/>
  <c r="K69" i="1"/>
  <c r="Q69" i="1" s="1"/>
  <c r="N69" i="1"/>
  <c r="K169" i="1"/>
  <c r="Q169" i="1" s="1"/>
  <c r="N169" i="1"/>
  <c r="K179" i="1"/>
  <c r="Q179" i="1" s="1"/>
  <c r="N179" i="1"/>
  <c r="M101" i="1"/>
  <c r="N101" i="1"/>
  <c r="M206" i="1"/>
  <c r="N206" i="1"/>
  <c r="K207" i="1"/>
  <c r="Q207" i="1" s="1"/>
  <c r="N207" i="1"/>
  <c r="K77" i="1"/>
  <c r="Q77" i="1" s="1"/>
  <c r="N77" i="1"/>
  <c r="K181" i="1"/>
  <c r="Q181" i="1" s="1"/>
  <c r="N181" i="1"/>
  <c r="K110" i="1"/>
  <c r="Q110" i="1" s="1"/>
  <c r="N110" i="1"/>
  <c r="M157" i="1"/>
  <c r="N157" i="1"/>
  <c r="M184" i="1"/>
  <c r="N184" i="1"/>
  <c r="O66" i="1"/>
  <c r="P181" i="1"/>
  <c r="K148" i="1"/>
  <c r="Q148" i="1" s="1"/>
  <c r="N148" i="1"/>
  <c r="K150" i="1"/>
  <c r="Q150" i="1" s="1"/>
  <c r="N150" i="1"/>
  <c r="K136" i="1"/>
  <c r="Q136" i="1" s="1"/>
  <c r="N136" i="1"/>
  <c r="K99" i="1"/>
  <c r="N99" i="1"/>
  <c r="K147" i="1"/>
  <c r="Q147" i="1" s="1"/>
  <c r="N147" i="1"/>
  <c r="K154" i="1"/>
  <c r="Q154" i="1" s="1"/>
  <c r="N154" i="1"/>
  <c r="K176" i="1"/>
  <c r="Q176" i="1" s="1"/>
  <c r="N176" i="1"/>
  <c r="K162" i="1"/>
  <c r="Q162" i="1" s="1"/>
  <c r="N162" i="1"/>
  <c r="K105" i="1"/>
  <c r="Q105" i="1" s="1"/>
  <c r="N105" i="1"/>
  <c r="K160" i="1"/>
  <c r="Q160" i="1" s="1"/>
  <c r="N160" i="1"/>
  <c r="M196" i="1"/>
  <c r="N196" i="1"/>
  <c r="K55" i="1"/>
  <c r="Q55" i="1" s="1"/>
  <c r="N55" i="1"/>
  <c r="K174" i="1"/>
  <c r="Q174" i="1" s="1"/>
  <c r="N174" i="1"/>
  <c r="K203" i="1"/>
  <c r="Q203" i="1" s="1"/>
  <c r="N203" i="1"/>
  <c r="M58" i="1"/>
  <c r="N58" i="1"/>
  <c r="K53" i="1"/>
  <c r="Q53" i="1" s="1"/>
  <c r="N53" i="1"/>
  <c r="K209" i="1"/>
  <c r="Q209" i="1" s="1"/>
  <c r="N209" i="1"/>
  <c r="M72" i="1"/>
  <c r="N72" i="1"/>
  <c r="K164" i="1"/>
  <c r="Q164" i="1" s="1"/>
  <c r="N164" i="1"/>
  <c r="K67" i="1"/>
  <c r="Q67" i="1" s="1"/>
  <c r="N67" i="1"/>
  <c r="M108" i="1"/>
  <c r="N108" i="1"/>
  <c r="M149" i="1"/>
  <c r="N149" i="1"/>
  <c r="K146" i="1"/>
  <c r="Q146" i="1" s="1"/>
  <c r="N146" i="1"/>
  <c r="M114" i="1"/>
  <c r="N114" i="1"/>
  <c r="M194" i="1"/>
  <c r="N194" i="1"/>
  <c r="M187" i="1"/>
  <c r="N187" i="1"/>
  <c r="K155" i="1"/>
  <c r="Q155" i="1" s="1"/>
  <c r="N155" i="1"/>
  <c r="K145" i="1"/>
  <c r="N145" i="1"/>
  <c r="K158" i="1"/>
  <c r="Q158" i="1" s="1"/>
  <c r="N158" i="1"/>
  <c r="K193" i="1"/>
  <c r="Q193" i="1" s="1"/>
  <c r="N193" i="1"/>
  <c r="K107" i="1"/>
  <c r="Q107" i="1" s="1"/>
  <c r="N107" i="1"/>
  <c r="K56" i="1"/>
  <c r="Q56" i="1" s="1"/>
  <c r="N56" i="1"/>
  <c r="M134" i="1"/>
  <c r="N134" i="1"/>
  <c r="K52" i="1"/>
  <c r="N52" i="1"/>
  <c r="K130" i="1"/>
  <c r="Q130" i="1" s="1"/>
  <c r="N130" i="1"/>
  <c r="M85" i="1"/>
  <c r="N85" i="1"/>
  <c r="K198" i="1"/>
  <c r="Q198" i="1" s="1"/>
  <c r="N198" i="1"/>
  <c r="O175" i="1"/>
  <c r="P57" i="1"/>
  <c r="K202" i="1"/>
  <c r="Q202" i="1" s="1"/>
  <c r="N202" i="1"/>
  <c r="K111" i="1"/>
  <c r="Q111" i="1" s="1"/>
  <c r="N111" i="1"/>
  <c r="K191" i="1"/>
  <c r="N191" i="1"/>
  <c r="K173" i="1"/>
  <c r="Q173" i="1" s="1"/>
  <c r="N173" i="1"/>
  <c r="K168" i="1"/>
  <c r="N168" i="1"/>
  <c r="K197" i="1"/>
  <c r="Q197" i="1" s="1"/>
  <c r="N197" i="1"/>
  <c r="M66" i="1"/>
  <c r="N66" i="1"/>
  <c r="K152" i="1"/>
  <c r="Q152" i="1" s="1"/>
  <c r="N152" i="1"/>
  <c r="M199" i="1"/>
  <c r="N199" i="1"/>
  <c r="M161" i="1"/>
  <c r="N161" i="1"/>
  <c r="K131" i="1"/>
  <c r="Q131" i="1" s="1"/>
  <c r="N131" i="1"/>
  <c r="K153" i="1"/>
  <c r="Q153" i="1" s="1"/>
  <c r="N153" i="1"/>
  <c r="M201" i="1"/>
  <c r="N201" i="1"/>
  <c r="K151" i="1"/>
  <c r="Q151" i="1" s="1"/>
  <c r="N151" i="1"/>
  <c r="M172" i="1"/>
  <c r="N172" i="1"/>
  <c r="M204" i="1"/>
  <c r="N204" i="1"/>
  <c r="K205" i="1"/>
  <c r="Q205" i="1" s="1"/>
  <c r="N205" i="1"/>
  <c r="K62" i="1"/>
  <c r="Q62" i="1" s="1"/>
  <c r="N62" i="1"/>
  <c r="K124" i="1"/>
  <c r="Q124" i="1" s="1"/>
  <c r="N124" i="1"/>
  <c r="K104" i="1"/>
  <c r="Q104" i="1" s="1"/>
  <c r="N104" i="1"/>
  <c r="K156" i="1"/>
  <c r="Q156" i="1" s="1"/>
  <c r="N156" i="1"/>
  <c r="O137" i="1"/>
  <c r="M181" i="1"/>
  <c r="M60" i="1"/>
  <c r="O151" i="1"/>
  <c r="M61" i="1"/>
  <c r="P140" i="1"/>
  <c r="P205" i="1"/>
  <c r="P145" i="1"/>
  <c r="O63" i="1"/>
  <c r="M100" i="1"/>
  <c r="M170" i="1"/>
  <c r="O150" i="1"/>
  <c r="P187" i="1"/>
  <c r="O195" i="1"/>
  <c r="O172" i="1"/>
  <c r="M148" i="1"/>
  <c r="P106" i="1"/>
  <c r="P59" i="1"/>
  <c r="O134" i="1"/>
  <c r="P159" i="1"/>
  <c r="M109" i="1"/>
  <c r="P207" i="1"/>
  <c r="O147" i="1"/>
  <c r="O192" i="1"/>
  <c r="P126" i="1"/>
  <c r="P55" i="1"/>
  <c r="M159" i="1"/>
  <c r="M129" i="1"/>
  <c r="O201" i="1"/>
  <c r="P156" i="1"/>
  <c r="P104" i="1"/>
  <c r="O112" i="1"/>
  <c r="M64" i="1"/>
  <c r="O193" i="1"/>
  <c r="P108" i="1"/>
  <c r="O93" i="1"/>
  <c r="P93" i="1"/>
  <c r="P85" i="1"/>
  <c r="O85" i="1"/>
  <c r="O78" i="1"/>
  <c r="P78" i="1"/>
  <c r="K29" i="1"/>
  <c r="M29" i="1"/>
  <c r="K133" i="1"/>
  <c r="Q133" i="1" s="1"/>
  <c r="M133" i="1"/>
  <c r="K103" i="1"/>
  <c r="Q103" i="1" s="1"/>
  <c r="K182" i="1"/>
  <c r="Q182" i="1" s="1"/>
  <c r="K177" i="1"/>
  <c r="Q177" i="1" s="1"/>
  <c r="M177" i="1"/>
  <c r="K34" i="1"/>
  <c r="Q34" i="1" s="1"/>
  <c r="M34" i="1"/>
  <c r="K118" i="1"/>
  <c r="Q118" i="1" s="1"/>
  <c r="M118" i="1"/>
  <c r="O48" i="1"/>
  <c r="P48" i="1"/>
  <c r="P43" i="1"/>
  <c r="O43" i="1"/>
  <c r="O84" i="1"/>
  <c r="P84" i="1"/>
  <c r="P122" i="1"/>
  <c r="P206" i="1"/>
  <c r="P125" i="1"/>
  <c r="O111" i="1"/>
  <c r="P204" i="1"/>
  <c r="P123" i="1"/>
  <c r="O109" i="1"/>
  <c r="P197" i="1"/>
  <c r="O183" i="1"/>
  <c r="O102" i="1"/>
  <c r="O64" i="1"/>
  <c r="O169" i="1"/>
  <c r="O131" i="1"/>
  <c r="M103" i="1"/>
  <c r="O62" i="1"/>
  <c r="M208" i="1"/>
  <c r="P127" i="1"/>
  <c r="O113" i="1"/>
  <c r="O155" i="1"/>
  <c r="P164" i="1"/>
  <c r="M164" i="1"/>
  <c r="M123" i="1"/>
  <c r="K95" i="1"/>
  <c r="Q95" i="1" s="1"/>
  <c r="M95" i="1"/>
  <c r="O42" i="1"/>
  <c r="P42" i="1"/>
  <c r="M62" i="1"/>
  <c r="P100" i="1"/>
  <c r="K35" i="1"/>
  <c r="Q35" i="1" s="1"/>
  <c r="M35" i="1"/>
  <c r="K76" i="1"/>
  <c r="M76" i="1"/>
  <c r="K109" i="1"/>
  <c r="Q109" i="1" s="1"/>
  <c r="K38" i="1"/>
  <c r="Q38" i="1" s="1"/>
  <c r="M38" i="1"/>
  <c r="K183" i="1"/>
  <c r="Q183" i="1" s="1"/>
  <c r="M183" i="1"/>
  <c r="K40" i="1"/>
  <c r="Q40" i="1" s="1"/>
  <c r="M40" i="1"/>
  <c r="K126" i="1"/>
  <c r="Q126" i="1" s="1"/>
  <c r="P34" i="1"/>
  <c r="O34" i="1"/>
  <c r="P29" i="1"/>
  <c r="O29" i="1"/>
  <c r="P90" i="1"/>
  <c r="O90" i="1"/>
  <c r="M104" i="1"/>
  <c r="M209" i="1"/>
  <c r="M128" i="1"/>
  <c r="P199" i="1"/>
  <c r="M207" i="1"/>
  <c r="M126" i="1"/>
  <c r="M200" i="1"/>
  <c r="M186" i="1"/>
  <c r="M105" i="1"/>
  <c r="P200" i="1"/>
  <c r="O186" i="1"/>
  <c r="O105" i="1"/>
  <c r="O210" i="1"/>
  <c r="P141" i="1"/>
  <c r="O60" i="1"/>
  <c r="P208" i="1"/>
  <c r="M130" i="1"/>
  <c r="P146" i="1"/>
  <c r="O160" i="1"/>
  <c r="M153" i="1"/>
  <c r="O152" i="1"/>
  <c r="P161" i="1"/>
  <c r="M192" i="1"/>
  <c r="K84" i="1"/>
  <c r="Q84" i="1" s="1"/>
  <c r="M84" i="1"/>
  <c r="O92" i="1"/>
  <c r="P92" i="1"/>
  <c r="K113" i="1"/>
  <c r="Q113" i="1" s="1"/>
  <c r="K171" i="1"/>
  <c r="Q171" i="1" s="1"/>
  <c r="M171" i="1"/>
  <c r="K41" i="1"/>
  <c r="Q41" i="1" s="1"/>
  <c r="M41" i="1"/>
  <c r="K82" i="1"/>
  <c r="Q82" i="1" s="1"/>
  <c r="M82" i="1"/>
  <c r="K115" i="1"/>
  <c r="Q115" i="1" s="1"/>
  <c r="K33" i="1"/>
  <c r="Q33" i="1" s="1"/>
  <c r="M33" i="1"/>
  <c r="K46" i="1"/>
  <c r="Q46" i="1" s="1"/>
  <c r="M46" i="1"/>
  <c r="K132" i="1"/>
  <c r="Q132" i="1" s="1"/>
  <c r="O40" i="1"/>
  <c r="P40" i="1"/>
  <c r="O35" i="1"/>
  <c r="P35" i="1"/>
  <c r="O33" i="1"/>
  <c r="P33" i="1"/>
  <c r="O194" i="1"/>
  <c r="P182" i="1"/>
  <c r="P70" i="1"/>
  <c r="O191" i="1"/>
  <c r="O130" i="1"/>
  <c r="M202" i="1"/>
  <c r="O209" i="1"/>
  <c r="O128" i="1"/>
  <c r="O202" i="1"/>
  <c r="P168" i="1"/>
  <c r="O107" i="1"/>
  <c r="M55" i="1"/>
  <c r="M203" i="1"/>
  <c r="M168" i="1"/>
  <c r="P179" i="1"/>
  <c r="O132" i="1"/>
  <c r="M158" i="1"/>
  <c r="M150" i="1"/>
  <c r="O149" i="1"/>
  <c r="O158" i="1"/>
  <c r="P185" i="1"/>
  <c r="K140" i="1"/>
  <c r="Q140" i="1" s="1"/>
  <c r="K47" i="1"/>
  <c r="Q47" i="1" s="1"/>
  <c r="M47" i="1"/>
  <c r="K88" i="1"/>
  <c r="Q88" i="1" s="1"/>
  <c r="M88" i="1"/>
  <c r="K89" i="1"/>
  <c r="Q89" i="1" s="1"/>
  <c r="M89" i="1"/>
  <c r="M31" i="1"/>
  <c r="K32" i="1"/>
  <c r="Q32" i="1" s="1"/>
  <c r="M32" i="1"/>
  <c r="K39" i="1"/>
  <c r="Q39" i="1" s="1"/>
  <c r="M39" i="1"/>
  <c r="K60" i="1"/>
  <c r="Q60" i="1" s="1"/>
  <c r="K138" i="1"/>
  <c r="Q138" i="1" s="1"/>
  <c r="P46" i="1"/>
  <c r="O46" i="1"/>
  <c r="O41" i="1"/>
  <c r="P41" i="1"/>
  <c r="O39" i="1"/>
  <c r="P39" i="1"/>
  <c r="M185" i="1"/>
  <c r="P118" i="1"/>
  <c r="M191" i="1"/>
  <c r="P116" i="1"/>
  <c r="M205" i="1"/>
  <c r="M124" i="1"/>
  <c r="P71" i="1"/>
  <c r="P176" i="1"/>
  <c r="P138" i="1"/>
  <c r="O124" i="1"/>
  <c r="P69" i="1"/>
  <c r="M182" i="1"/>
  <c r="O103" i="1"/>
  <c r="O170" i="1"/>
  <c r="P53" i="1"/>
  <c r="M163" i="1"/>
  <c r="O157" i="1"/>
  <c r="M147" i="1"/>
  <c r="P101" i="1"/>
  <c r="K83" i="1"/>
  <c r="Q83" i="1" s="1"/>
  <c r="M83" i="1"/>
  <c r="K106" i="1"/>
  <c r="Q106" i="1" s="1"/>
  <c r="M106" i="1"/>
  <c r="M107" i="1"/>
  <c r="M210" i="1"/>
  <c r="K54" i="1"/>
  <c r="Q54" i="1" s="1"/>
  <c r="K94" i="1"/>
  <c r="Q94" i="1" s="1"/>
  <c r="M94" i="1"/>
  <c r="M37" i="1"/>
  <c r="K44" i="1"/>
  <c r="Q44" i="1" s="1"/>
  <c r="M44" i="1"/>
  <c r="K45" i="1"/>
  <c r="Q45" i="1" s="1"/>
  <c r="M45" i="1"/>
  <c r="K125" i="1"/>
  <c r="Q125" i="1" s="1"/>
  <c r="M125" i="1"/>
  <c r="K66" i="1"/>
  <c r="Q66" i="1" s="1"/>
  <c r="O47" i="1"/>
  <c r="P47" i="1"/>
  <c r="P76" i="1"/>
  <c r="O76" i="1"/>
  <c r="O83" i="1"/>
  <c r="P83" i="1"/>
  <c r="O32" i="1"/>
  <c r="P32" i="1"/>
  <c r="O45" i="1"/>
  <c r="P45" i="1"/>
  <c r="O68" i="1"/>
  <c r="M112" i="1"/>
  <c r="M179" i="1"/>
  <c r="M141" i="1"/>
  <c r="P198" i="1"/>
  <c r="O184" i="1"/>
  <c r="P67" i="1"/>
  <c r="M56" i="1"/>
  <c r="P153" i="1"/>
  <c r="M155" i="1"/>
  <c r="O154" i="1"/>
  <c r="P163" i="1"/>
  <c r="M43" i="1"/>
  <c r="K72" i="1"/>
  <c r="Q72" i="1" s="1"/>
  <c r="O82" i="1"/>
  <c r="P82" i="1"/>
  <c r="O89" i="1"/>
  <c r="P89" i="1"/>
  <c r="P38" i="1"/>
  <c r="O38" i="1"/>
  <c r="P52" i="1"/>
  <c r="M54" i="1"/>
  <c r="P173" i="1"/>
  <c r="P135" i="1"/>
  <c r="O114" i="1"/>
  <c r="M115" i="1"/>
  <c r="M53" i="1"/>
  <c r="M70" i="1"/>
  <c r="P139" i="1"/>
  <c r="O58" i="1"/>
  <c r="M145" i="1"/>
  <c r="O162" i="1"/>
  <c r="M152" i="1"/>
  <c r="M77" i="1"/>
  <c r="O91" i="1"/>
  <c r="P91" i="1"/>
  <c r="K102" i="1"/>
  <c r="Q102" i="1" s="1"/>
  <c r="M102" i="1"/>
  <c r="K58" i="1"/>
  <c r="Q58" i="1" s="1"/>
  <c r="K59" i="1"/>
  <c r="Q59" i="1" s="1"/>
  <c r="M59" i="1"/>
  <c r="K137" i="1"/>
  <c r="Q137" i="1" s="1"/>
  <c r="M137" i="1"/>
  <c r="K80" i="1"/>
  <c r="Q80" i="1" s="1"/>
  <c r="M80" i="1"/>
  <c r="K178" i="1"/>
  <c r="Q178" i="1" s="1"/>
  <c r="P88" i="1"/>
  <c r="O88" i="1"/>
  <c r="O95" i="1"/>
  <c r="P95" i="1"/>
  <c r="O44" i="1"/>
  <c r="P44" i="1"/>
  <c r="M116" i="1"/>
  <c r="M178" i="1"/>
  <c r="M140" i="1"/>
  <c r="O56" i="1"/>
  <c r="M176" i="1"/>
  <c r="M138" i="1"/>
  <c r="O54" i="1"/>
  <c r="M169" i="1"/>
  <c r="M131" i="1"/>
  <c r="M117" i="1"/>
  <c r="M198" i="1"/>
  <c r="O117" i="1"/>
  <c r="O203" i="1"/>
  <c r="P110" i="1"/>
  <c r="O72" i="1"/>
  <c r="P177" i="1"/>
  <c r="O148" i="1"/>
  <c r="M160" i="1"/>
  <c r="K85" i="1"/>
  <c r="Q85" i="1" s="1"/>
  <c r="O36" i="1"/>
  <c r="P36" i="1"/>
  <c r="K127" i="1"/>
  <c r="Q127" i="1" s="1"/>
  <c r="M127" i="1"/>
  <c r="K139" i="1"/>
  <c r="Q139" i="1" s="1"/>
  <c r="M139" i="1"/>
  <c r="M87" i="1"/>
  <c r="M36" i="1"/>
  <c r="K63" i="1"/>
  <c r="Q63" i="1" s="1"/>
  <c r="M63" i="1"/>
  <c r="M78" i="1"/>
  <c r="K65" i="1"/>
  <c r="Q65" i="1" s="1"/>
  <c r="M65" i="1"/>
  <c r="M86" i="1"/>
  <c r="P94" i="1"/>
  <c r="O94" i="1"/>
  <c r="O180" i="1"/>
  <c r="M69" i="1"/>
  <c r="O171" i="1"/>
  <c r="O133" i="1"/>
  <c r="P99" i="1"/>
  <c r="M67" i="1"/>
  <c r="M99" i="1"/>
  <c r="M113" i="1"/>
  <c r="M180" i="1"/>
  <c r="M146" i="1"/>
  <c r="K134" i="1"/>
  <c r="Q134" i="1" s="1"/>
  <c r="P31" i="1"/>
  <c r="O31" i="1"/>
  <c r="K91" i="1"/>
  <c r="Q91" i="1" s="1"/>
  <c r="M91" i="1"/>
  <c r="O37" i="1"/>
  <c r="P37" i="1"/>
  <c r="K81" i="1"/>
  <c r="Q81" i="1" s="1"/>
  <c r="M81" i="1"/>
  <c r="M93" i="1"/>
  <c r="M42" i="1"/>
  <c r="K201" i="1"/>
  <c r="Q201" i="1" s="1"/>
  <c r="M90" i="1"/>
  <c r="K71" i="1"/>
  <c r="Q71" i="1" s="1"/>
  <c r="M71" i="1"/>
  <c r="K172" i="1"/>
  <c r="Q172" i="1" s="1"/>
  <c r="M92" i="1"/>
  <c r="P80" i="1"/>
  <c r="O80" i="1"/>
  <c r="O81" i="1"/>
  <c r="P81" i="1"/>
  <c r="M197" i="1"/>
  <c r="M195" i="1"/>
  <c r="M122" i="1"/>
  <c r="M174" i="1"/>
  <c r="M136" i="1"/>
  <c r="O174" i="1"/>
  <c r="O136" i="1"/>
  <c r="O77" i="1"/>
  <c r="P129" i="1"/>
  <c r="O115" i="1"/>
  <c r="P196" i="1"/>
  <c r="P65" i="1"/>
  <c r="M151" i="1"/>
  <c r="M154" i="1"/>
  <c r="M193" i="1"/>
  <c r="K101" i="1"/>
  <c r="Q101" i="1" s="1"/>
  <c r="M48" i="1"/>
  <c r="K79" i="1"/>
  <c r="Q79" i="1" s="1"/>
  <c r="M79" i="1"/>
  <c r="K184" i="1"/>
  <c r="Q184" i="1" s="1"/>
  <c r="K100" i="1"/>
  <c r="Q100" i="1" s="1"/>
  <c r="O86" i="1"/>
  <c r="P86" i="1"/>
  <c r="O87" i="1"/>
  <c r="P87" i="1"/>
  <c r="O30" i="1"/>
  <c r="P30" i="1"/>
  <c r="O79" i="1"/>
  <c r="P79" i="1"/>
  <c r="M135" i="1"/>
  <c r="P61" i="1"/>
  <c r="M52" i="1"/>
  <c r="M57" i="1"/>
  <c r="M110" i="1"/>
  <c r="M132" i="1"/>
  <c r="M68" i="1"/>
  <c r="M162" i="1"/>
  <c r="M156" i="1"/>
  <c r="K157" i="1"/>
  <c r="Q157" i="1" s="1"/>
  <c r="K163" i="1"/>
  <c r="Q163" i="1" s="1"/>
  <c r="K48" i="1"/>
  <c r="Q48" i="1" s="1"/>
  <c r="K128" i="1"/>
  <c r="Q128" i="1" s="1"/>
  <c r="K206" i="1"/>
  <c r="Q206" i="1" s="1"/>
  <c r="K112" i="1"/>
  <c r="Q112" i="1" s="1"/>
  <c r="K57" i="1"/>
  <c r="Q57" i="1" s="1"/>
  <c r="K187" i="1"/>
  <c r="Q187" i="1" s="1"/>
  <c r="K90" i="1"/>
  <c r="Q90" i="1" s="1"/>
  <c r="K23" i="1"/>
  <c r="Q23" i="1" s="1"/>
  <c r="M23" i="1"/>
  <c r="O8" i="1"/>
  <c r="P8" i="1"/>
  <c r="M20" i="1"/>
  <c r="K20" i="1"/>
  <c r="Q20" i="1" s="1"/>
  <c r="O20" i="1"/>
  <c r="P20" i="1"/>
  <c r="K170" i="1"/>
  <c r="Q170" i="1" s="1"/>
  <c r="O12" i="1"/>
  <c r="P12" i="1"/>
  <c r="P25" i="1"/>
  <c r="O25" i="1"/>
  <c r="P13" i="1"/>
  <c r="O13" i="1"/>
  <c r="K12" i="1"/>
  <c r="Q12" i="1" s="1"/>
  <c r="N12" i="1"/>
  <c r="M12" i="1"/>
  <c r="K196" i="1"/>
  <c r="Q196" i="1" s="1"/>
  <c r="K208" i="1"/>
  <c r="Q208" i="1" s="1"/>
  <c r="P18" i="1"/>
  <c r="O18" i="1"/>
  <c r="P15" i="1"/>
  <c r="O15" i="1"/>
  <c r="P19" i="1"/>
  <c r="O19" i="1"/>
  <c r="N11" i="1"/>
  <c r="M11" i="1"/>
  <c r="K11" i="1"/>
  <c r="Q11" i="1" s="1"/>
  <c r="K22" i="1"/>
  <c r="Q22" i="1" s="1"/>
  <c r="M22" i="1"/>
  <c r="M18" i="1"/>
  <c r="K18" i="1"/>
  <c r="Q18" i="1" s="1"/>
  <c r="K25" i="1"/>
  <c r="Q25" i="1" s="1"/>
  <c r="M25" i="1"/>
  <c r="K19" i="1"/>
  <c r="Q19" i="1" s="1"/>
  <c r="M19" i="1"/>
  <c r="K31" i="1"/>
  <c r="Q31" i="1" s="1"/>
  <c r="O24" i="1"/>
  <c r="P24" i="1"/>
  <c r="K195" i="1"/>
  <c r="Q195" i="1" s="1"/>
  <c r="K210" i="1"/>
  <c r="Q210" i="1" s="1"/>
  <c r="K15" i="1"/>
  <c r="Q15" i="1" s="1"/>
  <c r="M15" i="1"/>
  <c r="K185" i="1"/>
  <c r="Q185" i="1" s="1"/>
  <c r="K37" i="1"/>
  <c r="Q37" i="1" s="1"/>
  <c r="K129" i="1"/>
  <c r="Q129" i="1" s="1"/>
  <c r="P17" i="1"/>
  <c r="O17" i="1"/>
  <c r="M17" i="1"/>
  <c r="K17" i="1"/>
  <c r="Q17" i="1" s="1"/>
  <c r="K199" i="1"/>
  <c r="Q199" i="1" s="1"/>
  <c r="K161" i="1"/>
  <c r="Q161" i="1" s="1"/>
  <c r="K43" i="1"/>
  <c r="Q43" i="1" s="1"/>
  <c r="P23" i="1"/>
  <c r="O23" i="1"/>
  <c r="P14" i="1"/>
  <c r="O14" i="1"/>
  <c r="M16" i="1"/>
  <c r="K16" i="1"/>
  <c r="Q16" i="1" s="1"/>
  <c r="K10" i="1"/>
  <c r="Q10" i="1" s="1"/>
  <c r="M10" i="1"/>
  <c r="N10" i="1"/>
  <c r="K24" i="1"/>
  <c r="Q24" i="1" s="1"/>
  <c r="M24" i="1"/>
  <c r="K30" i="1"/>
  <c r="Q30" i="1" s="1"/>
  <c r="K108" i="1"/>
  <c r="Q108" i="1" s="1"/>
  <c r="K186" i="1"/>
  <c r="Q186" i="1" s="1"/>
  <c r="K175" i="1"/>
  <c r="Q175" i="1" s="1"/>
  <c r="K149" i="1"/>
  <c r="Q149" i="1" s="1"/>
  <c r="K70" i="1"/>
  <c r="Q70" i="1" s="1"/>
  <c r="O10" i="1"/>
  <c r="P10" i="1"/>
  <c r="K7" i="1"/>
  <c r="K9" i="1"/>
  <c r="Q9" i="1" s="1"/>
  <c r="M9" i="1"/>
  <c r="N9" i="1"/>
  <c r="N13" i="1"/>
  <c r="K13" i="1"/>
  <c r="Q13" i="1" s="1"/>
  <c r="M13" i="1"/>
  <c r="K64" i="1"/>
  <c r="Q64" i="1" s="1"/>
  <c r="K21" i="1"/>
  <c r="Q21" i="1" s="1"/>
  <c r="M21" i="1"/>
  <c r="K87" i="1"/>
  <c r="Q87" i="1" s="1"/>
  <c r="K36" i="1"/>
  <c r="Q36" i="1" s="1"/>
  <c r="K114" i="1"/>
  <c r="Q114" i="1" s="1"/>
  <c r="K194" i="1"/>
  <c r="Q194" i="1" s="1"/>
  <c r="K78" i="1"/>
  <c r="Q78" i="1" s="1"/>
  <c r="K86" i="1"/>
  <c r="Q86" i="1" s="1"/>
  <c r="K192" i="1"/>
  <c r="Q192" i="1" s="1"/>
  <c r="P16" i="1"/>
  <c r="O16" i="1"/>
  <c r="O9" i="1"/>
  <c r="P9" i="1"/>
  <c r="N8" i="1"/>
  <c r="K8" i="1"/>
  <c r="Q8" i="1" s="1"/>
  <c r="O21" i="1"/>
  <c r="P21" i="1"/>
  <c r="N14" i="1"/>
  <c r="K14" i="1"/>
  <c r="Q14" i="1" s="1"/>
  <c r="M14" i="1"/>
  <c r="K93" i="1"/>
  <c r="Q93" i="1" s="1"/>
  <c r="K42" i="1"/>
  <c r="Q42" i="1" s="1"/>
  <c r="K122" i="1"/>
  <c r="K200" i="1"/>
  <c r="Q200" i="1" s="1"/>
  <c r="K92" i="1"/>
  <c r="Q92" i="1" s="1"/>
  <c r="K204" i="1"/>
  <c r="Q204" i="1" s="1"/>
  <c r="O22" i="1"/>
  <c r="P22" i="1"/>
  <c r="O11" i="1"/>
  <c r="P11" i="1"/>
  <c r="Q99" i="1" l="1"/>
  <c r="K119" i="1"/>
  <c r="Q7" i="1"/>
  <c r="K26" i="1"/>
  <c r="Q122" i="1"/>
  <c r="K142" i="1"/>
  <c r="Q145" i="1"/>
  <c r="K165" i="1"/>
  <c r="Q168" i="1"/>
  <c r="Q188" i="1" s="1"/>
  <c r="K188" i="1"/>
  <c r="Q191" i="1"/>
  <c r="Q212" i="1" s="1"/>
  <c r="K211" i="1"/>
  <c r="Q29" i="1"/>
  <c r="K49" i="1"/>
  <c r="Q76" i="1"/>
  <c r="K96" i="1"/>
  <c r="Q52" i="1"/>
  <c r="Q73" i="1" s="1"/>
  <c r="K73" i="1"/>
  <c r="N97" i="1"/>
  <c r="N142" i="1"/>
  <c r="V31" i="1" s="1"/>
  <c r="N119" i="1"/>
  <c r="V30" i="1" s="1"/>
  <c r="N120" i="1"/>
  <c r="N96" i="1"/>
  <c r="V29" i="1" s="1"/>
  <c r="N143" i="1"/>
  <c r="N165" i="1"/>
  <c r="V32" i="1" s="1"/>
  <c r="N166" i="1"/>
  <c r="N188" i="1"/>
  <c r="V33" i="1" s="1"/>
  <c r="N189" i="1"/>
  <c r="N190" i="1" s="1"/>
  <c r="N49" i="1"/>
  <c r="V27" i="1" s="1"/>
  <c r="N212" i="1"/>
  <c r="N211" i="1"/>
  <c r="V34" i="1" s="1"/>
  <c r="N74" i="1"/>
  <c r="N73" i="1"/>
  <c r="V28" i="1" s="1"/>
  <c r="P212" i="1"/>
  <c r="O74" i="1"/>
  <c r="Q166" i="1"/>
  <c r="O142" i="1"/>
  <c r="V47" i="1" s="1"/>
  <c r="O166" i="1"/>
  <c r="Q120" i="1"/>
  <c r="O120" i="1"/>
  <c r="Q211" i="1"/>
  <c r="V82" i="1" s="1"/>
  <c r="Q189" i="1"/>
  <c r="O189" i="1"/>
  <c r="O73" i="1"/>
  <c r="V44" i="1" s="1"/>
  <c r="P166" i="1"/>
  <c r="Q74" i="1"/>
  <c r="O188" i="1"/>
  <c r="V49" i="1" s="1"/>
  <c r="O119" i="1"/>
  <c r="V46" i="1" s="1"/>
  <c r="Q165" i="1"/>
  <c r="V80" i="1" s="1"/>
  <c r="N26" i="1"/>
  <c r="N27" i="1"/>
  <c r="P189" i="1"/>
  <c r="P188" i="1"/>
  <c r="V65" i="1" s="1"/>
  <c r="Q142" i="1"/>
  <c r="V79" i="1" s="1"/>
  <c r="Q143" i="1"/>
  <c r="M142" i="1"/>
  <c r="V15" i="1" s="1"/>
  <c r="M143" i="1"/>
  <c r="O49" i="1"/>
  <c r="V43" i="1" s="1"/>
  <c r="O50" i="1"/>
  <c r="M165" i="1"/>
  <c r="V16" i="1" s="1"/>
  <c r="M166" i="1"/>
  <c r="M189" i="1"/>
  <c r="M188" i="1"/>
  <c r="V17" i="1" s="1"/>
  <c r="P49" i="1"/>
  <c r="P50" i="1"/>
  <c r="P165" i="1"/>
  <c r="M50" i="1"/>
  <c r="M49" i="1"/>
  <c r="M97" i="1"/>
  <c r="M96" i="1"/>
  <c r="V13" i="1" s="1"/>
  <c r="Q119" i="1"/>
  <c r="P74" i="1"/>
  <c r="P73" i="1"/>
  <c r="V60" i="1" s="1"/>
  <c r="Q50" i="1"/>
  <c r="Q49" i="1"/>
  <c r="V75" i="1" s="1"/>
  <c r="O143" i="1"/>
  <c r="M120" i="1"/>
  <c r="M119" i="1"/>
  <c r="V14" i="1" s="1"/>
  <c r="Q96" i="1"/>
  <c r="V77" i="1" s="1"/>
  <c r="Q97" i="1"/>
  <c r="P211" i="1"/>
  <c r="O212" i="1"/>
  <c r="O211" i="1"/>
  <c r="V50" i="1" s="1"/>
  <c r="P142" i="1"/>
  <c r="V63" i="1" s="1"/>
  <c r="P143" i="1"/>
  <c r="O165" i="1"/>
  <c r="M73" i="1"/>
  <c r="M74" i="1"/>
  <c r="M211" i="1"/>
  <c r="M212" i="1"/>
  <c r="P97" i="1"/>
  <c r="P96" i="1"/>
  <c r="V61" i="1" s="1"/>
  <c r="P119" i="1"/>
  <c r="V62" i="1" s="1"/>
  <c r="P120" i="1"/>
  <c r="O97" i="1"/>
  <c r="O96" i="1"/>
  <c r="V45" i="1" s="1"/>
  <c r="Q26" i="1"/>
  <c r="V74" i="1" s="1"/>
  <c r="Q27" i="1"/>
  <c r="P27" i="1"/>
  <c r="P26" i="1"/>
  <c r="M27" i="1"/>
  <c r="M26" i="1"/>
  <c r="V10" i="1" s="1"/>
  <c r="O27" i="1"/>
  <c r="O26" i="1"/>
  <c r="V42" i="1" s="1"/>
  <c r="N167" i="1" l="1"/>
  <c r="N121" i="1"/>
  <c r="N213" i="1"/>
  <c r="N144" i="1"/>
  <c r="V36" i="1"/>
  <c r="V35" i="1"/>
  <c r="N75" i="1"/>
  <c r="N51" i="1"/>
  <c r="N98" i="1"/>
  <c r="Q28" i="1"/>
  <c r="Q167" i="1"/>
  <c r="O51" i="1"/>
  <c r="O190" i="1"/>
  <c r="O144" i="1"/>
  <c r="O28" i="1"/>
  <c r="O121" i="1"/>
  <c r="P144" i="1"/>
  <c r="P98" i="1"/>
  <c r="Q75" i="1"/>
  <c r="V76" i="1"/>
  <c r="P51" i="1"/>
  <c r="V58" i="1"/>
  <c r="O167" i="1"/>
  <c r="V48" i="1"/>
  <c r="V52" i="1" s="1"/>
  <c r="Q51" i="1"/>
  <c r="P190" i="1"/>
  <c r="P167" i="1"/>
  <c r="V64" i="1"/>
  <c r="O213" i="1"/>
  <c r="Q121" i="1"/>
  <c r="V78" i="1"/>
  <c r="P213" i="1"/>
  <c r="V66" i="1"/>
  <c r="Q190" i="1"/>
  <c r="V81" i="1"/>
  <c r="Q213" i="1"/>
  <c r="O75" i="1"/>
  <c r="M98" i="1"/>
  <c r="N28" i="1"/>
  <c r="V26" i="1"/>
  <c r="M51" i="1"/>
  <c r="V11" i="1"/>
  <c r="M144" i="1"/>
  <c r="M213" i="1"/>
  <c r="V18" i="1"/>
  <c r="M75" i="1"/>
  <c r="V12" i="1"/>
  <c r="M167" i="1"/>
  <c r="M190" i="1"/>
  <c r="O98" i="1"/>
  <c r="Q98" i="1"/>
  <c r="M121" i="1"/>
  <c r="P121" i="1"/>
  <c r="P75" i="1"/>
  <c r="Q144" i="1"/>
  <c r="P28" i="1"/>
  <c r="M28" i="1"/>
  <c r="V37" i="1" l="1"/>
  <c r="V51" i="1"/>
  <c r="V53" i="1" s="1"/>
  <c r="V83" i="1"/>
  <c r="V84" i="1"/>
  <c r="V68" i="1"/>
  <c r="V67" i="1"/>
  <c r="V20" i="1"/>
  <c r="V19" i="1"/>
  <c r="V85" i="1" l="1"/>
  <c r="V69" i="1"/>
  <c r="V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<sst xmlns="http://schemas.openxmlformats.org/spreadsheetml/2006/main" count="191" uniqueCount="45">
  <si>
    <t>TH1</t>
  </si>
  <si>
    <t>TH2</t>
  </si>
  <si>
    <t>MW</t>
  </si>
  <si>
    <t>LW</t>
  </si>
  <si>
    <t>WIDE</t>
  </si>
  <si>
    <t>T, C</t>
  </si>
  <si>
    <t>R</t>
  </si>
  <si>
    <t>LWIR Power</t>
  </si>
  <si>
    <t>Fit Power</t>
  </si>
  <si>
    <t>MW Power</t>
  </si>
  <si>
    <t>Wide Power</t>
  </si>
  <si>
    <t>10.95 Power</t>
  </si>
  <si>
    <t>3.95 Power</t>
  </si>
  <si>
    <t>3.95 B</t>
  </si>
  <si>
    <t>10.95 B</t>
  </si>
  <si>
    <t>THAVG</t>
  </si>
  <si>
    <t>MODIS</t>
  </si>
  <si>
    <t>GROUND</t>
  </si>
  <si>
    <t>Average</t>
  </si>
  <si>
    <t>StDev</t>
  </si>
  <si>
    <t>StDev %</t>
  </si>
  <si>
    <t>Re-Organized DataLog with Calibration Progress</t>
  </si>
  <si>
    <t>Ryan McDonald</t>
  </si>
  <si>
    <t>Voltage Response</t>
  </si>
  <si>
    <t>Sensor Temp (K)</t>
  </si>
  <si>
    <t>BB Temp</t>
  </si>
  <si>
    <t>BB</t>
  </si>
  <si>
    <t>OG</t>
  </si>
  <si>
    <t>NEW</t>
  </si>
  <si>
    <t>ACTIVE</t>
  </si>
  <si>
    <t>avg</t>
  </si>
  <si>
    <t>std</t>
  </si>
  <si>
    <t>std%</t>
  </si>
  <si>
    <t>Robert Kremens</t>
  </si>
  <si>
    <t>(from 5 channel predicted page)</t>
  </si>
  <si>
    <t>(from vallues in more recent email)</t>
  </si>
  <si>
    <t>(manually chosen values from minimizing std %)</t>
  </si>
  <si>
    <t>clipped values from 373K for all graphs, and 423 only in the 3.95 band</t>
  </si>
  <si>
    <t>all clipped values are still visible in the graphs, just not the std % calculations</t>
  </si>
  <si>
    <t>Voltage vs blackbody temperature for Joe Paki to use in comparison with the Georgia 5-band calibration</t>
  </si>
  <si>
    <t xml:space="preserve">V/Power </t>
  </si>
  <si>
    <t>Averaged data across time at each blackbody temperature</t>
  </si>
  <si>
    <t>Exponents</t>
  </si>
  <si>
    <t>Raw data for each blackbody temperature</t>
  </si>
  <si>
    <t>Sensor temperature - voltage values (mV) - WIDE is average of TH1 and TH2)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</si>
</sst>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FF395"/>
        <bgColor indexed="64"/>
      </patternFill>
    </fill>
    <fill>
      <patternFill patternType="solid">
        <fgColor rgb="FFEFA3E4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0" fillId="33" borderId="0" xfId="0" applyFill="1"/>
    <xf numFmtId="0" fontId="18" fillId="33" borderId="0" xfId="0" applyFont="1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14" fontId="0" fillId="0" borderId="0" xfId="0" applyNumberFormat="1"/>
    <xf numFmtId="0" fontId="0" fillId="40" borderId="0" xfId="0" applyFill="1"/>
    <xf numFmtId="0" fontId="0" fillId="41" borderId="0" xfId="0" applyFill="1"/>
    <xf numFmtId="0" fontId="0" fillId="0" borderId="10" xfId="0" applyBorder="1"/>
    <xf numFmtId="0" fontId="18" fillId="0" borderId="0" xfId="0" applyFont="1"/>
    <xf numFmtId="0" fontId="16" fillId="0" borderId="0" xfId="0" applyFont="1"/>
    <xf numFmtId="0" fontId="19" fillId="0" borderId="0" xfId="0" applyFont="1"/>
    <xf numFmtId="0" fontId="0" fillId="36" borderId="10" xfId="0" applyFill="1" applyBorder="1"/>
    <xf numFmtId="0" fontId="0" fillId="34" borderId="10" xfId="0" applyFill="1" applyBorder="1"/>
    <xf numFmtId="0" fontId="0" fillId="37" borderId="10" xfId="0" applyFill="1" applyBorder="1"/>
    <xf numFmtId="0" fontId="0" fillId="0" borderId="11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FF395"/>
      <color rgb="FFCC66FF"/>
      <color rgb="FFFF7C80"/>
      <color rgb="FFEFA3E4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DATALOG!$V$9</c:f>
              <c:strCache>
                <c:ptCount val="1"/>
                <c:pt idx="0">
                  <c:v>3.95 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DATALOG!$U$10:$U$18</c:f>
              <c:numCache>
                <c:formatCode>General</c:formatCode>
                <c:ptCount val="9"/>
                <c:pt idx="0">
                  <c:v>373</c:v>
                </c:pt>
                <c:pt idx="1">
                  <c:v>423</c:v>
                </c:pt>
                <c:pt idx="2">
                  <c:v>473</c:v>
                </c:pt>
                <c:pt idx="3">
                  <c:v>523</c:v>
                </c:pt>
                <c:pt idx="4">
                  <c:v>573</c:v>
                </c:pt>
                <c:pt idx="5">
                  <c:v>623</c:v>
                </c:pt>
                <c:pt idx="6">
                  <c:v>673</c:v>
                </c:pt>
                <c:pt idx="7">
                  <c:v>723</c:v>
                </c:pt>
                <c:pt idx="8">
                  <c:v>773</c:v>
                </c:pt>
              </c:numCache>
            </c:numRef>
          </c:xVal>
          <c:yVal>
            <c:numRef>
              <c:f>DATALOG!$V$10:$V$18</c:f>
              <c:numCache>
                <c:formatCode>General</c:formatCode>
                <c:ptCount val="9"/>
                <c:pt idx="0">
                  <c:v>5.1890735056492693E-8</c:v>
                </c:pt>
                <c:pt idx="1">
                  <c:v>4.1630553035343631E-8</c:v>
                </c:pt>
                <c:pt idx="2">
                  <c:v>3.6281353798747287E-8</c:v>
                </c:pt>
                <c:pt idx="3">
                  <c:v>3.2802893020610848E-8</c:v>
                </c:pt>
                <c:pt idx="4">
                  <c:v>3.1813787711784369E-8</c:v>
                </c:pt>
                <c:pt idx="5">
                  <c:v>3.1713428798701901E-8</c:v>
                </c:pt>
                <c:pt idx="6">
                  <c:v>3.4399177766812498E-8</c:v>
                </c:pt>
                <c:pt idx="7">
                  <c:v>3.5431809566934654E-8</c:v>
                </c:pt>
                <c:pt idx="8">
                  <c:v>3.4094317472485075E-8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1-4969-B268-B41D5D9DE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195200"/>
        <c:axId val="776204800"/>
      </c:scatterChart>
      <c:valAx>
        <c:axId val="776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04800"/>
        <c:crosses val="autoZero"/>
        <c:crossBetween val="midCat"/>
      </c:valAx>
      <c:valAx>
        <c:axId val="77620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9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DATALOG!$V$25</c:f>
              <c:strCache>
                <c:ptCount val="1"/>
                <c:pt idx="0">
                  <c:v>10.95 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DATALOG!$U$26:$U$34</c:f>
              <c:numCache>
                <c:formatCode>General</c:formatCode>
                <c:ptCount val="9"/>
                <c:pt idx="0">
                  <c:v>373</c:v>
                </c:pt>
                <c:pt idx="1">
                  <c:v>423</c:v>
                </c:pt>
                <c:pt idx="2">
                  <c:v>473</c:v>
                </c:pt>
                <c:pt idx="3">
                  <c:v>523</c:v>
                </c:pt>
                <c:pt idx="4">
                  <c:v>573</c:v>
                </c:pt>
                <c:pt idx="5">
                  <c:v>623</c:v>
                </c:pt>
                <c:pt idx="6">
                  <c:v>673</c:v>
                </c:pt>
                <c:pt idx="7">
                  <c:v>723</c:v>
                </c:pt>
                <c:pt idx="8">
                  <c:v>773</c:v>
                </c:pt>
              </c:numCache>
            </c:numRef>
          </c:xVal>
          <c:yVal>
            <c:numRef>
              <c:f>DATALOG!$V$26:$V$34</c:f>
              <c:numCache>
                <c:formatCode>General</c:formatCode>
                <c:ptCount val="9"/>
                <c:pt idx="0">
                  <c:v>6.9936977138439346E-4</c:v>
                </c:pt>
                <c:pt idx="1">
                  <c:v>6.9404523139084291E-4</c:v>
                </c:pt>
                <c:pt idx="2">
                  <c:v>6.8282856760688653E-4</c:v>
                </c:pt>
                <c:pt idx="3">
                  <c:v>6.7141322477062685E-4</c:v>
                </c:pt>
                <c:pt idx="4">
                  <c:v>6.6540311239937731E-4</c:v>
                </c:pt>
                <c:pt idx="5">
                  <c:v>6.7488024351795351E-4</c:v>
                </c:pt>
                <c:pt idx="6">
                  <c:v>6.9721770470665184E-4</c:v>
                </c:pt>
                <c:pt idx="7">
                  <c:v>7.0447455388722034E-4</c:v>
                </c:pt>
                <c:pt idx="8">
                  <c:v>6.664887550207238E-4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4-434D-B6CD-565089E8A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193280"/>
        <c:axId val="776201920"/>
      </c:scatterChart>
      <c:valAx>
        <c:axId val="77619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01920"/>
        <c:crosses val="autoZero"/>
        <c:crossBetween val="midCat"/>
      </c:valAx>
      <c:valAx>
        <c:axId val="7762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9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DATALOG!$V$41</c:f>
              <c:strCache>
                <c:ptCount val="1"/>
                <c:pt idx="0">
                  <c:v>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DATALOG!$U$42:$U$50</c:f>
              <c:numCache>
                <c:formatCode>General</c:formatCode>
                <c:ptCount val="9"/>
                <c:pt idx="0">
                  <c:v>373</c:v>
                </c:pt>
                <c:pt idx="1">
                  <c:v>423</c:v>
                </c:pt>
                <c:pt idx="2">
                  <c:v>473</c:v>
                </c:pt>
                <c:pt idx="3">
                  <c:v>523</c:v>
                </c:pt>
                <c:pt idx="4">
                  <c:v>573</c:v>
                </c:pt>
                <c:pt idx="5">
                  <c:v>623</c:v>
                </c:pt>
                <c:pt idx="6">
                  <c:v>673</c:v>
                </c:pt>
                <c:pt idx="7">
                  <c:v>723</c:v>
                </c:pt>
                <c:pt idx="8">
                  <c:v>773</c:v>
                </c:pt>
              </c:numCache>
            </c:numRef>
          </c:xVal>
          <c:yVal>
            <c:numRef>
              <c:f>DATALOG!$V$42:$V$50</c:f>
              <c:numCache>
                <c:formatCode>General</c:formatCode>
                <c:ptCount val="9"/>
                <c:pt idx="0">
                  <c:v>4.3500709745279927E-14</c:v>
                </c:pt>
                <c:pt idx="1">
                  <c:v>3.3569901857082273E-14</c:v>
                </c:pt>
                <c:pt idx="2">
                  <c:v>3.2139125365964542E-14</c:v>
                </c:pt>
                <c:pt idx="3">
                  <c:v>3.2793995598538088E-14</c:v>
                </c:pt>
                <c:pt idx="4">
                  <c:v>3.2743523752684228E-14</c:v>
                </c:pt>
                <c:pt idx="5">
                  <c:v>3.3869258528366646E-14</c:v>
                </c:pt>
                <c:pt idx="6">
                  <c:v>3.3405387739729118E-14</c:v>
                </c:pt>
                <c:pt idx="7">
                  <c:v>3.3532113621191456E-14</c:v>
                </c:pt>
                <c:pt idx="8">
                  <c:v>3.2088275950655961E-14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4A9-9C68-3714CAEB5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215840"/>
        <c:axId val="776216320"/>
      </c:scatterChart>
      <c:valAx>
        <c:axId val="77621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16320"/>
        <c:crosses val="autoZero"/>
        <c:crossBetween val="midCat"/>
      </c:valAx>
      <c:valAx>
        <c:axId val="77621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1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DATALOG!$V$57</c:f>
              <c:strCache>
                <c:ptCount val="1"/>
                <c:pt idx="0">
                  <c:v>LW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DATALOG!$U$58:$U$66</c:f>
              <c:numCache>
                <c:formatCode>General</c:formatCode>
                <c:ptCount val="9"/>
                <c:pt idx="0">
                  <c:v>373</c:v>
                </c:pt>
                <c:pt idx="1">
                  <c:v>423</c:v>
                </c:pt>
                <c:pt idx="2">
                  <c:v>473</c:v>
                </c:pt>
                <c:pt idx="3">
                  <c:v>523</c:v>
                </c:pt>
                <c:pt idx="4">
                  <c:v>573</c:v>
                </c:pt>
                <c:pt idx="5">
                  <c:v>623</c:v>
                </c:pt>
                <c:pt idx="6">
                  <c:v>673</c:v>
                </c:pt>
                <c:pt idx="7">
                  <c:v>723</c:v>
                </c:pt>
                <c:pt idx="8">
                  <c:v>773</c:v>
                </c:pt>
              </c:numCache>
            </c:numRef>
          </c:xVal>
          <c:yVal>
            <c:numRef>
              <c:f>DATALOG!$V$58:$V$66</c:f>
              <c:numCache>
                <c:formatCode>General</c:formatCode>
                <c:ptCount val="9"/>
                <c:pt idx="0">
                  <c:v>5.148657225294964E-4</c:v>
                </c:pt>
                <c:pt idx="1">
                  <c:v>5.7429289595736994E-4</c:v>
                </c:pt>
                <c:pt idx="2">
                  <c:v>5.3234062131143184E-4</c:v>
                </c:pt>
                <c:pt idx="3">
                  <c:v>5.4808904712431734E-4</c:v>
                </c:pt>
                <c:pt idx="4">
                  <c:v>5.5964434168587587E-4</c:v>
                </c:pt>
                <c:pt idx="5">
                  <c:v>5.783375854209918E-4</c:v>
                </c:pt>
                <c:pt idx="6">
                  <c:v>5.8610366827684807E-4</c:v>
                </c:pt>
                <c:pt idx="7">
                  <c:v>5.9556493595963979E-4</c:v>
                </c:pt>
                <c:pt idx="8">
                  <c:v>5.9168380240052598E-4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0-4F66-A55D-1B876788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178880"/>
        <c:axId val="776172640"/>
      </c:scatterChart>
      <c:valAx>
        <c:axId val="77617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72640"/>
        <c:crosses val="autoZero"/>
        <c:crossBetween val="midCat"/>
      </c:valAx>
      <c:valAx>
        <c:axId val="7761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78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DATALOG!$V$73</c:f>
              <c:strCache>
                <c:ptCount val="1"/>
                <c:pt idx="0">
                  <c:v>WIDE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DATALOG!$U$74:$U$82</c:f>
              <c:numCache>
                <c:formatCode>General</c:formatCode>
                <c:ptCount val="9"/>
                <c:pt idx="0">
                  <c:v>373</c:v>
                </c:pt>
                <c:pt idx="1">
                  <c:v>423</c:v>
                </c:pt>
                <c:pt idx="2">
                  <c:v>473</c:v>
                </c:pt>
                <c:pt idx="3">
                  <c:v>523</c:v>
                </c:pt>
                <c:pt idx="4">
                  <c:v>573</c:v>
                </c:pt>
                <c:pt idx="5">
                  <c:v>623</c:v>
                </c:pt>
                <c:pt idx="6">
                  <c:v>673</c:v>
                </c:pt>
                <c:pt idx="7">
                  <c:v>723</c:v>
                </c:pt>
                <c:pt idx="8">
                  <c:v>773</c:v>
                </c:pt>
              </c:numCache>
            </c:numRef>
          </c:xVal>
          <c:yVal>
            <c:numRef>
              <c:f>DATALOG!$V$74:$V$82</c:f>
              <c:numCache>
                <c:formatCode>General</c:formatCode>
                <c:ptCount val="9"/>
                <c:pt idx="0">
                  <c:v>4.5066364039669835E-10</c:v>
                </c:pt>
                <c:pt idx="1">
                  <c:v>4.1011448304753251E-10</c:v>
                </c:pt>
                <c:pt idx="2">
                  <c:v>4.0776121038081499E-10</c:v>
                </c:pt>
                <c:pt idx="3">
                  <c:v>4.0489354300998466E-10</c:v>
                </c:pt>
                <c:pt idx="4">
                  <c:v>4.0054345763400501E-10</c:v>
                </c:pt>
                <c:pt idx="5">
                  <c:v>4.1094122015493371E-10</c:v>
                </c:pt>
                <c:pt idx="6">
                  <c:v>4.0649337802926238E-10</c:v>
                </c:pt>
                <c:pt idx="7">
                  <c:v>4.175531711041174E-10</c:v>
                </c:pt>
                <c:pt idx="8">
                  <c:v>4.0075325433198311E-10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7-4912-8EC7-5CB1B66B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155840"/>
        <c:axId val="776155360"/>
      </c:scatterChart>
      <c:valAx>
        <c:axId val="7761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55360"/>
        <c:crosses val="autoZero"/>
        <c:crossBetween val="midCat"/>
      </c:valAx>
      <c:valAx>
        <c:axId val="77615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15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95250</xdr:colOff>
      <xdr:row>4</xdr:row>
      <xdr:rowOff>133350</xdr:rowOff>
    </xdr:from>
    <xdr:to>
      <xdr:col>29</xdr:col>
      <xdr:colOff>400050</xdr:colOff>
      <xdr:row>20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6A31EE-E2B3-3B14-61FA-284CFF41E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107950</xdr:colOff>
      <xdr:row>20</xdr:row>
      <xdr:rowOff>171450</xdr:rowOff>
    </xdr:from>
    <xdr:to>
      <xdr:col>29</xdr:col>
      <xdr:colOff>412750</xdr:colOff>
      <xdr:row>36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A7EFC6-7C2A-864C-BB5F-51273DAB4D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133350</xdr:colOff>
      <xdr:row>37</xdr:row>
      <xdr:rowOff>44450</xdr:rowOff>
    </xdr:from>
    <xdr:to>
      <xdr:col>29</xdr:col>
      <xdr:colOff>438150</xdr:colOff>
      <xdr:row>52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DBB859-0048-7E31-E4C5-80E957DA2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120650</xdr:colOff>
      <xdr:row>53</xdr:row>
      <xdr:rowOff>57150</xdr:rowOff>
    </xdr:from>
    <xdr:to>
      <xdr:col>29</xdr:col>
      <xdr:colOff>425450</xdr:colOff>
      <xdr:row>68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9D378C-5FFB-3052-9B88-7FB7F11FB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146050</xdr:colOff>
      <xdr:row>69</xdr:row>
      <xdr:rowOff>69850</xdr:rowOff>
    </xdr:from>
    <xdr:to>
      <xdr:col>29</xdr:col>
      <xdr:colOff>450850</xdr:colOff>
      <xdr:row>84</xdr:row>
      <xdr:rowOff>146050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D8A54B-0DAD-EE96-13DD-47CA6C2DC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9847-0EB2-4E20-A8D6-AA2F3EF08717}">
  <sheetPr codeName="Sheet1"/>
  <dimension ref="A1:AG213"/>
  <sheetViews>
    <sheetView zoomScale="75" zoomScaleNormal="75" workbookViewId="0">
      <selection activeCell="A6" sqref="A6:B210"/>
    </sheetView>
  </sheetViews>
  <sheetFormatPr defaultRowHeight="15" x14ac:dyDescent="0.25"/>
  <cols>
    <col min="1" max="1" width="10.140625" bestFit="1" customWidth="1"/>
    <col min="2" max="9" width="9" bestFit="1" customWidth="1"/>
    <col min="10" max="10" width="11.42578125" customWidth="1"/>
    <col min="11" max="11" width="9" bestFit="1" customWidth="1"/>
    <col min="13" max="15" width="13.5703125" bestFit="1" customWidth="1"/>
    <col min="16" max="16" width="12.5703125" bestFit="1" customWidth="1"/>
    <col min="17" max="17" width="13.5703125" bestFit="1" customWidth="1"/>
    <col min="19" max="19" width="13.85546875" bestFit="1" customWidth="1"/>
    <col min="22" max="22" width="14" bestFit="1" customWidth="1"/>
    <col min="24" max="24" width="12.140625" customWidth="1"/>
  </cols>
  <sheetData>
    <row r="1" spans="1:33" x14ac:dyDescent="0.25">
      <c r="A1" t="s">
        <v>21</v>
      </c>
      <c r="K1" s="10" t="s">
        <v>29</v>
      </c>
      <c r="L1" s="1" t="s">
        <v>8</v>
      </c>
      <c r="M1" s="1" t="s">
        <v>12</v>
      </c>
      <c r="N1" s="1" t="s">
        <v>11</v>
      </c>
      <c r="O1" s="1" t="s">
        <v>9</v>
      </c>
      <c r="P1" s="1" t="s">
        <v>7</v>
      </c>
      <c r="Q1" s="1" t="s">
        <v>10</v>
      </c>
      <c r="S1" s="10" t="s">
        <v>28</v>
      </c>
      <c r="T1" s="1" t="s">
        <v>8</v>
      </c>
      <c r="U1" s="1" t="s">
        <v>12</v>
      </c>
      <c r="V1" s="1" t="s">
        <v>11</v>
      </c>
      <c r="W1" s="1" t="s">
        <v>9</v>
      </c>
      <c r="X1" s="1" t="s">
        <v>7</v>
      </c>
      <c r="Y1" s="1" t="s">
        <v>10</v>
      </c>
      <c r="AA1" s="10" t="s">
        <v>27</v>
      </c>
      <c r="AB1" s="1" t="s">
        <v>8</v>
      </c>
      <c r="AC1" s="1" t="s">
        <v>12</v>
      </c>
      <c r="AD1" s="1" t="s">
        <v>11</v>
      </c>
      <c r="AE1" s="1" t="s">
        <v>9</v>
      </c>
      <c r="AF1" s="1" t="s">
        <v>7</v>
      </c>
      <c r="AG1" s="1" t="s">
        <v>10</v>
      </c>
    </row>
    <row r="2" spans="1:33" ht="15.75" x14ac:dyDescent="0.25">
      <c r="A2" t="s">
        <v>22</v>
      </c>
      <c r="C2" t="s">
        <v>33</v>
      </c>
      <c r="M2" s="2">
        <v>3.4246354390283602</v>
      </c>
      <c r="N2" s="2">
        <v>2.0539409472480266</v>
      </c>
      <c r="O2" s="1">
        <v>5.5706126231916411</v>
      </c>
      <c r="P2" s="1">
        <v>2.1451657933662243</v>
      </c>
      <c r="Q2" s="1">
        <v>4.1943443427395222</v>
      </c>
      <c r="U2" s="2">
        <v>4.7039999999999997</v>
      </c>
      <c r="V2" s="2">
        <v>2.5819999999999999</v>
      </c>
      <c r="W2" s="1">
        <v>5.5469999999999997</v>
      </c>
      <c r="X2" s="1">
        <v>2.7509999999999999</v>
      </c>
      <c r="Y2" s="1">
        <v>4.1349999999999998</v>
      </c>
      <c r="AC2" s="2">
        <v>3.8690000000000002</v>
      </c>
      <c r="AD2" s="2">
        <v>2.181</v>
      </c>
      <c r="AE2" s="1">
        <v>4.9204999999999997</v>
      </c>
      <c r="AF2" s="1">
        <v>2.1280000000000001</v>
      </c>
      <c r="AG2" s="1">
        <v>3.9455</v>
      </c>
    </row>
    <row r="3" spans="1:33" x14ac:dyDescent="0.25">
      <c r="A3" s="9">
        <v>45568</v>
      </c>
      <c r="M3" t="s">
        <v>36</v>
      </c>
      <c r="P3">
        <v>2.14</v>
      </c>
      <c r="S3" t="s">
        <v>35</v>
      </c>
      <c r="AA3" t="s">
        <v>34</v>
      </c>
    </row>
    <row r="4" spans="1:33" x14ac:dyDescent="0.25">
      <c r="I4" s="6" t="s">
        <v>24</v>
      </c>
      <c r="J4" s="6"/>
      <c r="M4">
        <v>3.42</v>
      </c>
    </row>
    <row r="5" spans="1:33" x14ac:dyDescent="0.25">
      <c r="C5" s="5" t="s">
        <v>23</v>
      </c>
      <c r="D5" s="5"/>
      <c r="H5" s="3" t="s">
        <v>25</v>
      </c>
      <c r="I5" s="6" t="s">
        <v>16</v>
      </c>
      <c r="J5" s="6" t="s">
        <v>17</v>
      </c>
      <c r="K5" s="6" t="s">
        <v>4</v>
      </c>
    </row>
    <row r="6" spans="1:33" x14ac:dyDescent="0.25">
      <c r="A6" t="s">
        <v>0</v>
      </c>
      <c r="B6" t="s">
        <v>1</v>
      </c>
      <c r="C6" s="5">
        <v>3.95</v>
      </c>
      <c r="D6" s="5">
        <v>10.95</v>
      </c>
      <c r="E6" s="5" t="s">
        <v>2</v>
      </c>
      <c r="F6" s="5" t="s">
        <v>3</v>
      </c>
      <c r="G6" s="5" t="s">
        <v>4</v>
      </c>
      <c r="H6" s="3">
        <v>373</v>
      </c>
      <c r="I6" s="6" t="s">
        <v>0</v>
      </c>
      <c r="J6" s="6" t="s">
        <v>1</v>
      </c>
      <c r="K6" s="6" t="s">
        <v>15</v>
      </c>
      <c r="M6" t="s">
        <v>13</v>
      </c>
      <c r="N6" t="s">
        <v>14</v>
      </c>
      <c r="O6" t="s">
        <v>2</v>
      </c>
      <c r="P6" t="s">
        <v>3</v>
      </c>
      <c r="Q6" t="s">
        <v>4</v>
      </c>
    </row>
    <row r="7" spans="1:33" x14ac:dyDescent="0.25">
      <c r="A7">
        <v>780.72</v>
      </c>
      <c r="B7">
        <v>780.72</v>
      </c>
      <c r="C7" s="5">
        <v>18.53</v>
      </c>
      <c r="D7" s="5">
        <v>48.34</v>
      </c>
      <c r="E7" s="5">
        <v>6.45</v>
      </c>
      <c r="F7" s="5">
        <v>63.65</v>
      </c>
      <c r="G7" s="5">
        <v>15.31</v>
      </c>
      <c r="I7" s="6" cm="1">
        <f t="array" ref="I7">st60_Temp(A7)</f>
        <v>298</v>
      </c>
      <c r="J7" s="6" cm="1">
        <f t="array" ref="J7">st60_Temp(B7)</f>
        <v>298</v>
      </c>
      <c r="K7" s="6">
        <f>AVERAGE(I7:J7)</f>
        <v>298</v>
      </c>
      <c r="M7">
        <f>C7/(($H$6^MMpow)-($I7^MMpow))</f>
        <v>5.3852295682806635E-8</v>
      </c>
      <c r="N7">
        <f>D7/($H$6^MLpow-$I7^MLpow)</f>
        <v>6.834003421013231E-4</v>
      </c>
      <c r="O7">
        <f>E7/($H$6^MWpow-$J7^MWpow)</f>
        <v>4.2666259296174944E-14</v>
      </c>
      <c r="P7">
        <f>F7/($H$6^LWpow-$J7^LWpow)</f>
        <v>5.0674461860215219E-4</v>
      </c>
      <c r="Q7">
        <f t="shared" ref="Q7:Q25" si="0">G7/($H$6^Wpow-$K7^Wpow)</f>
        <v>4.1022721624427128E-10</v>
      </c>
      <c r="S7">
        <f>(($H$6^MMpow)-($I7^MMpow))</f>
        <v>344089323.67791432</v>
      </c>
    </row>
    <row r="8" spans="1:33" x14ac:dyDescent="0.25">
      <c r="A8">
        <v>777.5</v>
      </c>
      <c r="B8">
        <v>779.92</v>
      </c>
      <c r="C8" s="5">
        <v>18.53</v>
      </c>
      <c r="D8" s="5">
        <v>52.37</v>
      </c>
      <c r="E8" s="5">
        <v>6.45</v>
      </c>
      <c r="F8" s="5">
        <v>62.84</v>
      </c>
      <c r="G8" s="5">
        <v>15.31</v>
      </c>
      <c r="I8" s="6" cm="1">
        <f t="array" ref="I8">st60_Temp(A8)</f>
        <v>298</v>
      </c>
      <c r="J8" s="6" cm="1">
        <f t="array" ref="J8">st60_Temp(B8)</f>
        <v>298</v>
      </c>
      <c r="K8" s="6">
        <f t="shared" ref="K8:K25" si="1">AVERAGE(I8:J8)</f>
        <v>298</v>
      </c>
      <c r="M8">
        <f t="shared" ref="M8:M25" si="2">C8/($H$6^MMpow-$I8^MMpow)</f>
        <v>5.3852295682806635E-8</v>
      </c>
      <c r="N8">
        <f t="shared" ref="N8:N25" si="3">D8/($H$6^MLpow-$I8^MLpow)</f>
        <v>7.4037393288883498E-4</v>
      </c>
      <c r="O8">
        <f t="shared" ref="O8:O25" si="4">E8/($H$6^MWpow-$J8^MWpow)</f>
        <v>4.2666259296174944E-14</v>
      </c>
      <c r="P8">
        <f t="shared" ref="P8:P25" si="5">F8/($H$6^LWpow-$J8^LWpow)</f>
        <v>5.0029586540391595E-4</v>
      </c>
      <c r="Q8">
        <f t="shared" si="0"/>
        <v>4.1022721624427128E-10</v>
      </c>
    </row>
    <row r="9" spans="1:33" x14ac:dyDescent="0.25">
      <c r="A9">
        <v>772.67</v>
      </c>
      <c r="B9">
        <v>776.69</v>
      </c>
      <c r="C9" s="5">
        <v>16.11</v>
      </c>
      <c r="D9" s="5">
        <v>49.95</v>
      </c>
      <c r="E9" s="5">
        <v>6.45</v>
      </c>
      <c r="F9" s="5">
        <v>66.87</v>
      </c>
      <c r="G9" s="5">
        <v>16.920000000000002</v>
      </c>
      <c r="I9" s="6" cm="1">
        <f t="array" ref="I9">st60_Temp(A9)</f>
        <v>298</v>
      </c>
      <c r="J9" s="6" cm="1">
        <f t="array" ref="J9">st60_Temp(B9)</f>
        <v>298</v>
      </c>
      <c r="K9" s="6">
        <f t="shared" si="1"/>
        <v>298</v>
      </c>
      <c r="M9">
        <f t="shared" si="2"/>
        <v>4.6819238178630051E-8</v>
      </c>
      <c r="N9">
        <f t="shared" si="3"/>
        <v>7.0616150368144569E-4</v>
      </c>
      <c r="O9">
        <f t="shared" si="4"/>
        <v>4.2666259296174944E-14</v>
      </c>
      <c r="P9">
        <f t="shared" si="5"/>
        <v>5.3238040292106711E-4</v>
      </c>
      <c r="Q9">
        <f t="shared" si="0"/>
        <v>4.5336672102240829E-10</v>
      </c>
      <c r="U9" t="s">
        <v>26</v>
      </c>
      <c r="V9" t="s">
        <v>13</v>
      </c>
      <c r="AE9" t="s">
        <v>37</v>
      </c>
    </row>
    <row r="10" spans="1:33" x14ac:dyDescent="0.25">
      <c r="A10">
        <v>776.69</v>
      </c>
      <c r="B10">
        <v>777.5</v>
      </c>
      <c r="C10" s="5">
        <v>17.73</v>
      </c>
      <c r="D10" s="5">
        <v>49.15</v>
      </c>
      <c r="E10" s="5">
        <v>6.45</v>
      </c>
      <c r="F10" s="5">
        <v>63.65</v>
      </c>
      <c r="G10" s="5">
        <v>17.73</v>
      </c>
      <c r="I10" s="6" cm="1">
        <f t="array" ref="I10">st60_Temp(A10)</f>
        <v>298</v>
      </c>
      <c r="J10" s="6" cm="1">
        <f t="array" ref="J10">st60_Temp(B10)</f>
        <v>298</v>
      </c>
      <c r="K10" s="6">
        <f t="shared" si="1"/>
        <v>298</v>
      </c>
      <c r="M10">
        <f t="shared" si="2"/>
        <v>5.1527317995475531E-8</v>
      </c>
      <c r="N10">
        <f t="shared" si="3"/>
        <v>6.9485160972858969E-4</v>
      </c>
      <c r="O10">
        <f t="shared" si="4"/>
        <v>4.2666259296174944E-14</v>
      </c>
      <c r="P10">
        <f t="shared" si="5"/>
        <v>5.0674461860215219E-4</v>
      </c>
      <c r="Q10">
        <f t="shared" si="0"/>
        <v>4.7507044702880015E-10</v>
      </c>
      <c r="U10" s="3">
        <v>373</v>
      </c>
      <c r="V10">
        <f>M26</f>
        <v>5.1890735056492693E-8</v>
      </c>
      <c r="AE10" t="s">
        <v>38</v>
      </c>
    </row>
    <row r="11" spans="1:33" x14ac:dyDescent="0.25">
      <c r="A11">
        <v>774.28</v>
      </c>
      <c r="B11">
        <v>776.69</v>
      </c>
      <c r="C11" s="5">
        <v>19.34</v>
      </c>
      <c r="D11" s="5">
        <v>49.95</v>
      </c>
      <c r="E11" s="5">
        <v>6.45</v>
      </c>
      <c r="F11" s="5">
        <v>62.84</v>
      </c>
      <c r="G11" s="5">
        <v>16.11</v>
      </c>
      <c r="I11" s="6" cm="1">
        <f t="array" ref="I11">st60_Temp(A11)</f>
        <v>298</v>
      </c>
      <c r="J11" s="6" cm="1">
        <f t="array" ref="J11">st60_Temp(B11)</f>
        <v>298</v>
      </c>
      <c r="K11" s="6">
        <f t="shared" si="1"/>
        <v>298</v>
      </c>
      <c r="M11">
        <f t="shared" si="2"/>
        <v>5.6206335591229372E-8</v>
      </c>
      <c r="N11">
        <f t="shared" si="3"/>
        <v>7.0616150368144569E-4</v>
      </c>
      <c r="O11">
        <f t="shared" si="4"/>
        <v>4.2666259296174944E-14</v>
      </c>
      <c r="P11">
        <f t="shared" si="5"/>
        <v>5.0029586540391595E-4</v>
      </c>
      <c r="Q11">
        <f t="shared" si="0"/>
        <v>4.3166299501601633E-10</v>
      </c>
      <c r="U11" s="3">
        <f>U10+50</f>
        <v>423</v>
      </c>
      <c r="V11">
        <f>M49</f>
        <v>4.1630553035343631E-8</v>
      </c>
    </row>
    <row r="12" spans="1:33" x14ac:dyDescent="0.25">
      <c r="A12">
        <v>770.25</v>
      </c>
      <c r="B12">
        <v>775.89</v>
      </c>
      <c r="C12" s="5">
        <v>16.920000000000002</v>
      </c>
      <c r="D12" s="5">
        <v>49.95</v>
      </c>
      <c r="E12" s="5">
        <v>8.06</v>
      </c>
      <c r="F12" s="5">
        <v>62.84</v>
      </c>
      <c r="G12" s="5">
        <v>15.31</v>
      </c>
      <c r="I12" s="6" cm="1">
        <f t="array" ref="I12">st60_Temp(A12)</f>
        <v>298</v>
      </c>
      <c r="J12" s="6" cm="1">
        <f t="array" ref="J12">st60_Temp(B12)</f>
        <v>298</v>
      </c>
      <c r="K12" s="6">
        <f t="shared" si="1"/>
        <v>298</v>
      </c>
      <c r="M12">
        <f t="shared" si="2"/>
        <v>4.9173278087052801E-8</v>
      </c>
      <c r="N12">
        <f t="shared" si="3"/>
        <v>7.0616150368144569E-4</v>
      </c>
      <c r="O12">
        <f t="shared" si="4"/>
        <v>5.3316286810413967E-14</v>
      </c>
      <c r="P12">
        <f t="shared" si="5"/>
        <v>5.0029586540391595E-4</v>
      </c>
      <c r="Q12">
        <f t="shared" si="0"/>
        <v>4.1022721624427128E-10</v>
      </c>
      <c r="U12" s="3">
        <f t="shared" ref="U12:U18" si="6">U11+50</f>
        <v>473</v>
      </c>
      <c r="V12">
        <f>M73</f>
        <v>3.6281353798747287E-8</v>
      </c>
    </row>
    <row r="13" spans="1:33" x14ac:dyDescent="0.25">
      <c r="A13">
        <v>771.86</v>
      </c>
      <c r="B13">
        <v>775.89</v>
      </c>
      <c r="C13" s="5">
        <v>19.34</v>
      </c>
      <c r="D13" s="5">
        <v>50.76</v>
      </c>
      <c r="E13" s="5">
        <v>8.86</v>
      </c>
      <c r="F13" s="5">
        <v>64.459999999999994</v>
      </c>
      <c r="G13" s="5">
        <v>18.53</v>
      </c>
      <c r="I13" s="6" cm="1">
        <f t="array" ref="I13">st60_Temp(A13)</f>
        <v>298</v>
      </c>
      <c r="J13" s="6" cm="1">
        <f t="array" ref="J13">st60_Temp(B13)</f>
        <v>298</v>
      </c>
      <c r="K13" s="6">
        <f t="shared" si="1"/>
        <v>298</v>
      </c>
      <c r="M13">
        <f t="shared" si="2"/>
        <v>5.6206335591229372E-8</v>
      </c>
      <c r="N13">
        <f t="shared" si="3"/>
        <v>7.1761277130871239E-4</v>
      </c>
      <c r="O13">
        <f t="shared" si="4"/>
        <v>5.8608225947924029E-14</v>
      </c>
      <c r="P13">
        <f t="shared" si="5"/>
        <v>5.1319337180038855E-4</v>
      </c>
      <c r="Q13">
        <f t="shared" si="0"/>
        <v>4.965062258005452E-10</v>
      </c>
      <c r="U13" s="3">
        <f t="shared" si="6"/>
        <v>523</v>
      </c>
      <c r="V13">
        <f>M96</f>
        <v>3.2802893020610848E-8</v>
      </c>
    </row>
    <row r="14" spans="1:33" x14ac:dyDescent="0.25">
      <c r="A14">
        <v>771.05</v>
      </c>
      <c r="B14">
        <v>772.67</v>
      </c>
      <c r="C14" s="5">
        <v>19.34</v>
      </c>
      <c r="D14" s="5">
        <v>49.95</v>
      </c>
      <c r="E14" s="5">
        <v>5.64</v>
      </c>
      <c r="F14" s="5">
        <v>64.459999999999994</v>
      </c>
      <c r="G14" s="5">
        <v>16.920000000000002</v>
      </c>
      <c r="I14" s="6" cm="1">
        <f t="array" ref="I14">st60_Temp(A14)</f>
        <v>298</v>
      </c>
      <c r="J14" s="6" cm="1">
        <f t="array" ref="J14">st60_Temp(B14)</f>
        <v>298</v>
      </c>
      <c r="K14" s="6">
        <f t="shared" si="1"/>
        <v>298</v>
      </c>
      <c r="M14">
        <f t="shared" si="2"/>
        <v>5.6206335591229372E-8</v>
      </c>
      <c r="N14">
        <f t="shared" si="3"/>
        <v>7.0616150368144569E-4</v>
      </c>
      <c r="O14">
        <f t="shared" si="4"/>
        <v>3.7308170919445994E-14</v>
      </c>
      <c r="P14">
        <f t="shared" si="5"/>
        <v>5.1319337180038855E-4</v>
      </c>
      <c r="Q14">
        <f t="shared" si="0"/>
        <v>4.5336672102240829E-10</v>
      </c>
      <c r="U14" s="3">
        <f t="shared" si="6"/>
        <v>573</v>
      </c>
      <c r="V14">
        <f>M119</f>
        <v>3.1813787711784369E-8</v>
      </c>
    </row>
    <row r="15" spans="1:33" x14ac:dyDescent="0.25">
      <c r="A15">
        <v>768.64</v>
      </c>
      <c r="B15">
        <v>772.67</v>
      </c>
      <c r="C15" s="5">
        <v>18.53</v>
      </c>
      <c r="D15" s="5">
        <v>49.95</v>
      </c>
      <c r="E15" s="5">
        <v>5.64</v>
      </c>
      <c r="F15" s="5">
        <v>62.04</v>
      </c>
      <c r="G15" s="5">
        <v>16.920000000000002</v>
      </c>
      <c r="I15" s="6" cm="1">
        <f t="array" ref="I15">st60_Temp(A15)</f>
        <v>298</v>
      </c>
      <c r="J15" s="6" cm="1">
        <f t="array" ref="J15">st60_Temp(B15)</f>
        <v>298</v>
      </c>
      <c r="K15" s="6">
        <f t="shared" si="1"/>
        <v>298</v>
      </c>
      <c r="M15">
        <f t="shared" si="2"/>
        <v>5.3852295682806635E-8</v>
      </c>
      <c r="N15">
        <f t="shared" si="3"/>
        <v>7.0616150368144569E-4</v>
      </c>
      <c r="O15">
        <f t="shared" si="4"/>
        <v>3.7308170919445994E-14</v>
      </c>
      <c r="P15">
        <f t="shared" si="5"/>
        <v>4.9392672644269484E-4</v>
      </c>
      <c r="Q15">
        <f t="shared" si="0"/>
        <v>4.5336672102240829E-10</v>
      </c>
      <c r="U15" s="3">
        <f t="shared" si="6"/>
        <v>623</v>
      </c>
      <c r="V15">
        <f>M142</f>
        <v>3.1713428798701901E-8</v>
      </c>
    </row>
    <row r="16" spans="1:33" x14ac:dyDescent="0.25">
      <c r="A16">
        <v>766.22</v>
      </c>
      <c r="B16">
        <v>771.05</v>
      </c>
      <c r="C16" s="5">
        <v>20.14</v>
      </c>
      <c r="D16" s="5">
        <v>49.15</v>
      </c>
      <c r="E16" s="5">
        <v>7.25</v>
      </c>
      <c r="F16" s="5">
        <v>65.260000000000005</v>
      </c>
      <c r="G16" s="5">
        <v>16.11</v>
      </c>
      <c r="I16" s="6" cm="1">
        <f t="array" ref="I16">st60_Temp(A16)</f>
        <v>298</v>
      </c>
      <c r="J16" s="6" cm="1">
        <f t="array" ref="J16">st60_Temp(B16)</f>
        <v>298</v>
      </c>
      <c r="K16" s="6">
        <f t="shared" si="1"/>
        <v>298</v>
      </c>
      <c r="M16">
        <f t="shared" si="2"/>
        <v>5.8531313278560477E-8</v>
      </c>
      <c r="N16">
        <f t="shared" si="3"/>
        <v>6.9485160972858969E-4</v>
      </c>
      <c r="O16">
        <f t="shared" si="4"/>
        <v>4.7958198433685018E-14</v>
      </c>
      <c r="P16">
        <f t="shared" si="5"/>
        <v>5.1956251076160976E-4</v>
      </c>
      <c r="Q16">
        <f t="shared" si="0"/>
        <v>4.3166299501601633E-10</v>
      </c>
      <c r="U16" s="3">
        <f t="shared" si="6"/>
        <v>673</v>
      </c>
      <c r="V16">
        <f>M165</f>
        <v>3.4399177766812498E-8</v>
      </c>
    </row>
    <row r="17" spans="1:22" x14ac:dyDescent="0.25">
      <c r="A17">
        <v>767.83</v>
      </c>
      <c r="B17">
        <v>767.83</v>
      </c>
      <c r="C17" s="5">
        <v>16.920000000000002</v>
      </c>
      <c r="D17" s="5">
        <v>49.15</v>
      </c>
      <c r="E17" s="5">
        <v>7.25</v>
      </c>
      <c r="F17" s="5">
        <v>63.65</v>
      </c>
      <c r="G17" s="5">
        <v>15.31</v>
      </c>
      <c r="I17" s="6" cm="1">
        <f t="array" ref="I17">st60_Temp(A17)</f>
        <v>298</v>
      </c>
      <c r="J17" s="6" cm="1">
        <f t="array" ref="J17">st60_Temp(B17)</f>
        <v>298</v>
      </c>
      <c r="K17" s="6">
        <f t="shared" si="1"/>
        <v>298</v>
      </c>
      <c r="M17">
        <f t="shared" si="2"/>
        <v>4.9173278087052801E-8</v>
      </c>
      <c r="N17">
        <f t="shared" si="3"/>
        <v>6.9485160972858969E-4</v>
      </c>
      <c r="O17">
        <f t="shared" si="4"/>
        <v>4.7958198433685018E-14</v>
      </c>
      <c r="P17">
        <f t="shared" si="5"/>
        <v>5.0674461860215219E-4</v>
      </c>
      <c r="Q17">
        <f t="shared" si="0"/>
        <v>4.1022721624427128E-10</v>
      </c>
      <c r="U17" s="3">
        <f t="shared" si="6"/>
        <v>723</v>
      </c>
      <c r="V17">
        <f>M188</f>
        <v>3.5431809566934654E-8</v>
      </c>
    </row>
    <row r="18" spans="1:22" x14ac:dyDescent="0.25">
      <c r="A18">
        <v>765.41</v>
      </c>
      <c r="B18">
        <v>771.05</v>
      </c>
      <c r="C18" s="5">
        <v>18.53</v>
      </c>
      <c r="D18" s="5">
        <v>49.15</v>
      </c>
      <c r="E18" s="5">
        <v>7.25</v>
      </c>
      <c r="F18" s="5">
        <v>62.04</v>
      </c>
      <c r="G18" s="5">
        <v>17.73</v>
      </c>
      <c r="I18" s="6" cm="1">
        <f t="array" ref="I18">st60_Temp(A18)</f>
        <v>298</v>
      </c>
      <c r="J18" s="6" cm="1">
        <f t="array" ref="J18">st60_Temp(B18)</f>
        <v>298</v>
      </c>
      <c r="K18" s="6">
        <f t="shared" si="1"/>
        <v>298</v>
      </c>
      <c r="M18">
        <f t="shared" si="2"/>
        <v>5.3852295682806635E-8</v>
      </c>
      <c r="N18">
        <f t="shared" si="3"/>
        <v>6.9485160972858969E-4</v>
      </c>
      <c r="O18">
        <f t="shared" si="4"/>
        <v>4.7958198433685018E-14</v>
      </c>
      <c r="P18">
        <f t="shared" si="5"/>
        <v>4.9392672644269484E-4</v>
      </c>
      <c r="Q18">
        <f t="shared" si="0"/>
        <v>4.7507044702880015E-10</v>
      </c>
      <c r="U18" s="3">
        <f t="shared" si="6"/>
        <v>773</v>
      </c>
      <c r="V18">
        <f>M211</f>
        <v>3.4094317472485075E-8</v>
      </c>
    </row>
    <row r="19" spans="1:22" x14ac:dyDescent="0.25">
      <c r="A19">
        <v>766.22</v>
      </c>
      <c r="B19">
        <v>767.83</v>
      </c>
      <c r="C19" s="5">
        <v>17.73</v>
      </c>
      <c r="D19" s="5">
        <v>48.34</v>
      </c>
      <c r="E19" s="5">
        <v>7.25</v>
      </c>
      <c r="F19" s="5">
        <v>63.65</v>
      </c>
      <c r="G19" s="5">
        <v>16.920000000000002</v>
      </c>
      <c r="I19" s="6" cm="1">
        <f t="array" ref="I19">st60_Temp(A19)</f>
        <v>298</v>
      </c>
      <c r="J19" s="6" cm="1">
        <f t="array" ref="J19">st60_Temp(B19)</f>
        <v>298</v>
      </c>
      <c r="K19" s="6">
        <f t="shared" si="1"/>
        <v>298</v>
      </c>
      <c r="M19">
        <f t="shared" si="2"/>
        <v>5.1527317995475531E-8</v>
      </c>
      <c r="N19">
        <f t="shared" si="3"/>
        <v>6.834003421013231E-4</v>
      </c>
      <c r="O19">
        <f t="shared" si="4"/>
        <v>4.7958198433685018E-14</v>
      </c>
      <c r="P19">
        <f t="shared" si="5"/>
        <v>5.0674461860215219E-4</v>
      </c>
      <c r="Q19">
        <f t="shared" si="0"/>
        <v>4.5336672102240829E-10</v>
      </c>
      <c r="U19" t="s">
        <v>30</v>
      </c>
      <c r="V19">
        <f>AVERAGE(V12:V18)</f>
        <v>3.3790966876582377E-8</v>
      </c>
    </row>
    <row r="20" spans="1:22" x14ac:dyDescent="0.25">
      <c r="A20">
        <v>763</v>
      </c>
      <c r="B20">
        <v>767.03</v>
      </c>
      <c r="C20" s="5">
        <v>17.73</v>
      </c>
      <c r="D20" s="5">
        <v>47.54</v>
      </c>
      <c r="E20" s="5">
        <v>6.45</v>
      </c>
      <c r="F20" s="5">
        <v>62.84</v>
      </c>
      <c r="G20" s="5">
        <v>15.31</v>
      </c>
      <c r="I20" s="6" cm="1">
        <f t="array" ref="I20">st60_Temp(A20)</f>
        <v>298</v>
      </c>
      <c r="J20" s="6" cm="1">
        <f t="array" ref="J20">st60_Temp(B20)</f>
        <v>298</v>
      </c>
      <c r="K20" s="6">
        <f t="shared" si="1"/>
        <v>298</v>
      </c>
      <c r="M20">
        <f t="shared" si="2"/>
        <v>5.1527317995475531E-8</v>
      </c>
      <c r="N20">
        <f t="shared" si="3"/>
        <v>6.7209044814846698E-4</v>
      </c>
      <c r="O20">
        <f t="shared" si="4"/>
        <v>4.2666259296174944E-14</v>
      </c>
      <c r="P20">
        <f t="shared" si="5"/>
        <v>5.0029586540391595E-4</v>
      </c>
      <c r="Q20">
        <f t="shared" si="0"/>
        <v>4.1022721624427128E-10</v>
      </c>
      <c r="U20" t="s">
        <v>31</v>
      </c>
      <c r="V20">
        <f>STDEV(V12:V18)</f>
        <v>1.7586939134487773E-9</v>
      </c>
    </row>
    <row r="21" spans="1:22" x14ac:dyDescent="0.25">
      <c r="A21">
        <v>761.39</v>
      </c>
      <c r="B21">
        <v>768.64</v>
      </c>
      <c r="C21" s="5">
        <v>16.920000000000002</v>
      </c>
      <c r="D21" s="5">
        <v>47.54</v>
      </c>
      <c r="E21" s="5">
        <v>5.64</v>
      </c>
      <c r="F21" s="5">
        <v>62.04</v>
      </c>
      <c r="G21" s="5">
        <v>17.73</v>
      </c>
      <c r="I21" s="6" cm="1">
        <f t="array" ref="I21">st60_Temp(A21)</f>
        <v>299</v>
      </c>
      <c r="J21" s="6" cm="1">
        <f t="array" ref="J21">st60_Temp(B21)</f>
        <v>298</v>
      </c>
      <c r="K21" s="6">
        <f t="shared" si="1"/>
        <v>298.5</v>
      </c>
      <c r="M21">
        <f t="shared" si="2"/>
        <v>4.9668572321559861E-8</v>
      </c>
      <c r="N21">
        <f t="shared" si="3"/>
        <v>6.8010683799143382E-4</v>
      </c>
      <c r="O21">
        <f t="shared" si="4"/>
        <v>3.7308170919445994E-14</v>
      </c>
      <c r="P21">
        <f t="shared" si="5"/>
        <v>4.9392672644269484E-4</v>
      </c>
      <c r="Q21">
        <f t="shared" si="0"/>
        <v>4.7722356422993072E-10</v>
      </c>
      <c r="U21" s="7" t="s">
        <v>32</v>
      </c>
      <c r="V21" s="7">
        <f>ABS(100*V20/V19)</f>
        <v>5.204627378293746</v>
      </c>
    </row>
    <row r="22" spans="1:22" x14ac:dyDescent="0.25">
      <c r="A22">
        <v>761.39</v>
      </c>
      <c r="B22">
        <v>765.41</v>
      </c>
      <c r="C22" s="5">
        <v>15.31</v>
      </c>
      <c r="D22" s="5">
        <v>48.34</v>
      </c>
      <c r="E22" s="5">
        <v>6.45</v>
      </c>
      <c r="F22" s="5">
        <v>62.84</v>
      </c>
      <c r="G22" s="5">
        <v>17.73</v>
      </c>
      <c r="I22" s="6" cm="1">
        <f t="array" ref="I22">st60_Temp(A22)</f>
        <v>299</v>
      </c>
      <c r="J22" s="6" cm="1">
        <f t="array" ref="J22">st60_Temp(B22)</f>
        <v>298</v>
      </c>
      <c r="K22" s="6">
        <f t="shared" si="1"/>
        <v>298.5</v>
      </c>
      <c r="M22">
        <f t="shared" si="2"/>
        <v>4.4942425664484721E-8</v>
      </c>
      <c r="N22">
        <f t="shared" si="3"/>
        <v>6.9155163122646009E-4</v>
      </c>
      <c r="O22">
        <f t="shared" si="4"/>
        <v>4.2666259296174944E-14</v>
      </c>
      <c r="P22">
        <f t="shared" si="5"/>
        <v>5.0029586540391595E-4</v>
      </c>
      <c r="Q22">
        <f t="shared" si="0"/>
        <v>4.7722356422993072E-10</v>
      </c>
    </row>
    <row r="23" spans="1:22" x14ac:dyDescent="0.25">
      <c r="A23">
        <v>760.58</v>
      </c>
      <c r="B23">
        <v>763</v>
      </c>
      <c r="C23" s="5">
        <v>16.920000000000002</v>
      </c>
      <c r="D23" s="5">
        <v>48.34</v>
      </c>
      <c r="E23" s="5">
        <v>5.64</v>
      </c>
      <c r="F23" s="5">
        <v>63.65</v>
      </c>
      <c r="G23" s="5">
        <v>16.920000000000002</v>
      </c>
      <c r="I23" s="6" cm="1">
        <f t="array" ref="I23">st60_Temp(A23)</f>
        <v>299</v>
      </c>
      <c r="J23" s="6" cm="1">
        <f t="array" ref="J23">st60_Temp(B23)</f>
        <v>298</v>
      </c>
      <c r="K23" s="6">
        <f t="shared" si="1"/>
        <v>298.5</v>
      </c>
      <c r="M23">
        <f t="shared" si="2"/>
        <v>4.9668572321559861E-8</v>
      </c>
      <c r="N23">
        <f t="shared" si="3"/>
        <v>6.9155163122646009E-4</v>
      </c>
      <c r="O23">
        <f t="shared" si="4"/>
        <v>3.7308170919445994E-14</v>
      </c>
      <c r="P23">
        <f t="shared" si="5"/>
        <v>5.0674461860215219E-4</v>
      </c>
      <c r="Q23">
        <f t="shared" si="0"/>
        <v>4.5542147246308113E-10</v>
      </c>
    </row>
    <row r="24" spans="1:22" x14ac:dyDescent="0.25">
      <c r="A24">
        <v>758.97</v>
      </c>
      <c r="B24">
        <v>763.8</v>
      </c>
      <c r="C24" s="5">
        <v>15.31</v>
      </c>
      <c r="D24" s="5">
        <v>49.15</v>
      </c>
      <c r="E24" s="5">
        <v>6.45</v>
      </c>
      <c r="F24" s="5">
        <v>62.84</v>
      </c>
      <c r="G24" s="5">
        <v>18.53</v>
      </c>
      <c r="I24" s="6" cm="1">
        <f t="array" ref="I24">st60_Temp(A24)</f>
        <v>299</v>
      </c>
      <c r="J24" s="6" cm="1">
        <f t="array" ref="J24">st60_Temp(B24)</f>
        <v>298</v>
      </c>
      <c r="K24" s="6">
        <f t="shared" si="1"/>
        <v>298.5</v>
      </c>
      <c r="M24">
        <f t="shared" si="2"/>
        <v>4.4942425664484721E-8</v>
      </c>
      <c r="N24">
        <f t="shared" si="3"/>
        <v>7.0313948437692407E-4</v>
      </c>
      <c r="O24">
        <f t="shared" si="4"/>
        <v>4.2666259296174944E-14</v>
      </c>
      <c r="P24">
        <f t="shared" si="5"/>
        <v>5.0029586540391595E-4</v>
      </c>
      <c r="Q24">
        <f t="shared" si="0"/>
        <v>4.9875649437002911E-10</v>
      </c>
    </row>
    <row r="25" spans="1:22" x14ac:dyDescent="0.25">
      <c r="A25">
        <v>757.36</v>
      </c>
      <c r="B25">
        <v>761.39</v>
      </c>
      <c r="C25" s="5">
        <v>18.53</v>
      </c>
      <c r="D25" s="5">
        <v>49.95</v>
      </c>
      <c r="E25" s="5">
        <v>4.83</v>
      </c>
      <c r="F25" s="5">
        <v>62.84</v>
      </c>
      <c r="G25" s="5">
        <v>17.73</v>
      </c>
      <c r="I25" s="6" cm="1">
        <f t="array" ref="I25">st60_Temp(A25)</f>
        <v>299</v>
      </c>
      <c r="J25" s="6" cm="1">
        <f t="array" ref="J25">st60_Temp(B25)</f>
        <v>299</v>
      </c>
      <c r="K25" s="6">
        <f t="shared" si="1"/>
        <v>299</v>
      </c>
      <c r="M25">
        <f t="shared" si="2"/>
        <v>5.4394718978635002E-8</v>
      </c>
      <c r="N25">
        <f t="shared" si="3"/>
        <v>7.1458427761195034E-4</v>
      </c>
      <c r="O25">
        <f t="shared" si="4"/>
        <v>3.2193420620057056E-14</v>
      </c>
      <c r="P25">
        <f t="shared" si="5"/>
        <v>5.0619778746858546E-4</v>
      </c>
      <c r="Q25">
        <f t="shared" si="0"/>
        <v>4.794079970431308E-10</v>
      </c>
      <c r="U25" t="s">
        <v>26</v>
      </c>
      <c r="V25" t="s">
        <v>14</v>
      </c>
    </row>
    <row r="26" spans="1:22" x14ac:dyDescent="0.25">
      <c r="C26" s="11">
        <f>AVERAGE(C7:C25)</f>
        <v>17.811052631578946</v>
      </c>
      <c r="D26" s="11">
        <f t="shared" ref="D26:G26" si="7">AVERAGE(D7:D25)</f>
        <v>49.316842105263156</v>
      </c>
      <c r="E26" s="11">
        <f t="shared" si="7"/>
        <v>6.5742105263157899</v>
      </c>
      <c r="F26" s="11">
        <f t="shared" si="7"/>
        <v>63.436842105263146</v>
      </c>
      <c r="G26" s="11">
        <f t="shared" si="7"/>
        <v>16.793684210526319</v>
      </c>
      <c r="H26" s="11">
        <f>H6</f>
        <v>373</v>
      </c>
      <c r="I26" s="11">
        <f>AVERAGE(I7:I25)</f>
        <v>298.26315789473682</v>
      </c>
      <c r="J26" s="11">
        <f t="shared" ref="J26:K26" si="8">AVERAGE(J7:J25)</f>
        <v>298.05263157894734</v>
      </c>
      <c r="K26" s="11">
        <f t="shared" si="8"/>
        <v>298.15789473684208</v>
      </c>
      <c r="M26" s="4">
        <f>AVERAGE(M7:M25)</f>
        <v>5.1890735056492693E-8</v>
      </c>
      <c r="N26" s="4">
        <f t="shared" ref="N26:Q26" si="9">AVERAGE(N7:N25)</f>
        <v>6.9936977138439346E-4</v>
      </c>
      <c r="O26" s="4">
        <f t="shared" si="9"/>
        <v>4.3500709745279927E-14</v>
      </c>
      <c r="P26" s="4">
        <f t="shared" si="9"/>
        <v>5.0535820576391461E-4</v>
      </c>
      <c r="Q26" s="4">
        <f t="shared" si="9"/>
        <v>4.5066364039669835E-10</v>
      </c>
      <c r="R26" s="4" t="s">
        <v>18</v>
      </c>
      <c r="U26" s="3">
        <v>373</v>
      </c>
      <c r="V26">
        <f>N26</f>
        <v>6.9936977138439346E-4</v>
      </c>
    </row>
    <row r="27" spans="1:22" x14ac:dyDescent="0.25">
      <c r="C27" s="5"/>
      <c r="D27" s="5"/>
      <c r="E27" s="5"/>
      <c r="F27" s="5"/>
      <c r="G27" s="5"/>
      <c r="I27" s="6"/>
      <c r="J27" s="6"/>
      <c r="K27" s="6"/>
      <c r="M27" s="8">
        <f>STDEV(M7:M25)</f>
        <v>3.8654508244648551E-9</v>
      </c>
      <c r="N27" s="8">
        <f t="shared" ref="N27:P27" si="10">STDEV(N7:N25)</f>
        <v>1.5491301453657018E-5</v>
      </c>
      <c r="O27" s="8">
        <f t="shared" si="10"/>
        <v>6.1953155097626214E-15</v>
      </c>
      <c r="P27" s="8">
        <f t="shared" si="10"/>
        <v>9.4600228196577583E-6</v>
      </c>
      <c r="Q27" s="8">
        <f>STDEV(Q7:Q25)</f>
        <v>3.0543576696275088E-11</v>
      </c>
      <c r="R27" s="8" t="s">
        <v>19</v>
      </c>
      <c r="U27" s="3">
        <f>U26+50</f>
        <v>423</v>
      </c>
      <c r="V27">
        <f>N49</f>
        <v>6.9404523139084291E-4</v>
      </c>
    </row>
    <row r="28" spans="1:22" x14ac:dyDescent="0.25">
      <c r="A28" t="s">
        <v>0</v>
      </c>
      <c r="B28" t="s">
        <v>1</v>
      </c>
      <c r="C28" s="5">
        <v>3.95</v>
      </c>
      <c r="D28" s="5">
        <v>10.95</v>
      </c>
      <c r="E28" s="5" t="s">
        <v>2</v>
      </c>
      <c r="F28" s="5" t="s">
        <v>3</v>
      </c>
      <c r="G28" s="5" t="s">
        <v>4</v>
      </c>
      <c r="H28" s="3">
        <f>150+273</f>
        <v>423</v>
      </c>
      <c r="I28" s="6"/>
      <c r="J28" s="6"/>
      <c r="K28" s="6"/>
      <c r="M28" s="7">
        <f>ABS(100*M27/M26)</f>
        <v>7.4492119262843248</v>
      </c>
      <c r="N28" s="7">
        <f t="shared" ref="N28:Q28" si="11">ABS(100*N27/N26)</f>
        <v>2.2150373218150659</v>
      </c>
      <c r="O28" s="7">
        <f t="shared" si="11"/>
        <v>14.241872249992078</v>
      </c>
      <c r="P28" s="7">
        <f t="shared" si="11"/>
        <v>1.8719440412286774</v>
      </c>
      <c r="Q28" s="7">
        <f t="shared" si="11"/>
        <v>6.7774663758959992</v>
      </c>
      <c r="R28" s="7" t="s">
        <v>20</v>
      </c>
      <c r="U28" s="3">
        <f t="shared" ref="U28:U34" si="12">U27+50</f>
        <v>473</v>
      </c>
      <c r="V28">
        <f>N73</f>
        <v>6.8282856760688653E-4</v>
      </c>
    </row>
    <row r="29" spans="1:22" x14ac:dyDescent="0.25">
      <c r="A29">
        <v>756.55</v>
      </c>
      <c r="B29">
        <v>762.19</v>
      </c>
      <c r="C29" s="5">
        <v>29.01</v>
      </c>
      <c r="D29" s="5">
        <v>90.24</v>
      </c>
      <c r="E29" s="5">
        <v>12.09</v>
      </c>
      <c r="F29" s="5">
        <v>116.83</v>
      </c>
      <c r="G29" s="5">
        <v>30.62</v>
      </c>
      <c r="I29" s="6" cm="1">
        <f t="array" ref="I29">st60_Temp(A29)</f>
        <v>299</v>
      </c>
      <c r="J29" s="6" cm="1">
        <f t="array" ref="J29">st60_Temp(B29)</f>
        <v>298</v>
      </c>
      <c r="K29" s="6">
        <f t="shared" ref="K29:K48" si="13">AVERAGE(I29:J29)</f>
        <v>298.5</v>
      </c>
      <c r="M29">
        <f t="shared" ref="M29:M48" si="14">C29/($H$28^MMpow-$I29^MMpow)</f>
        <v>4.2284266695864812E-8</v>
      </c>
      <c r="N29">
        <f t="shared" ref="N29:N48" si="15">D29/($H$28^MLpow-$I29^MLpow)</f>
        <v>7.1417754825158679E-4</v>
      </c>
      <c r="O29">
        <f t="shared" ref="O29:O48" si="16">E29/($H$28^MWpow-$J29^MWpow)</f>
        <v>3.301123413629068E-14</v>
      </c>
      <c r="P29">
        <f t="shared" ref="P29:P48" si="17">F29/($H$28^LWpow-$J29^LWpow)</f>
        <v>5.1373678060095322E-4</v>
      </c>
      <c r="Q29">
        <f t="shared" ref="Q29:Q48" si="18">G29/($H$28^Wpow-$K29^Wpow)</f>
        <v>3.8434272182551565E-10</v>
      </c>
      <c r="U29" s="3">
        <f t="shared" si="12"/>
        <v>523</v>
      </c>
      <c r="V29">
        <f>N96</f>
        <v>6.7141322477062685E-4</v>
      </c>
    </row>
    <row r="30" spans="1:22" x14ac:dyDescent="0.25">
      <c r="A30">
        <v>752.52</v>
      </c>
      <c r="B30">
        <v>758.16</v>
      </c>
      <c r="C30" s="5">
        <v>28.2</v>
      </c>
      <c r="D30" s="5">
        <v>90.24</v>
      </c>
      <c r="E30" s="5">
        <v>13.7</v>
      </c>
      <c r="F30" s="5">
        <v>116.83</v>
      </c>
      <c r="G30" s="5">
        <v>32.229999999999997</v>
      </c>
      <c r="I30" s="6" cm="1">
        <f t="array" ref="I30">st60_Temp(A30)</f>
        <v>299</v>
      </c>
      <c r="J30" s="6" cm="1">
        <f t="array" ref="J30">st60_Temp(B30)</f>
        <v>299</v>
      </c>
      <c r="K30" s="6">
        <f t="shared" si="13"/>
        <v>299</v>
      </c>
      <c r="M30">
        <f t="shared" si="14"/>
        <v>4.1103630500633837E-8</v>
      </c>
      <c r="N30">
        <f t="shared" si="15"/>
        <v>7.1417754825158679E-4</v>
      </c>
      <c r="O30">
        <f t="shared" si="16"/>
        <v>3.752434678744285E-14</v>
      </c>
      <c r="P30">
        <f t="shared" si="17"/>
        <v>5.1706655817256475E-4</v>
      </c>
      <c r="Q30">
        <f t="shared" si="18"/>
        <v>4.0541291965375774E-10</v>
      </c>
      <c r="U30" s="3">
        <f t="shared" si="12"/>
        <v>573</v>
      </c>
      <c r="V30">
        <f>N119</f>
        <v>6.6540311239937731E-4</v>
      </c>
    </row>
    <row r="31" spans="1:22" x14ac:dyDescent="0.25">
      <c r="A31">
        <v>751.72</v>
      </c>
      <c r="B31">
        <v>758.16</v>
      </c>
      <c r="C31" s="5">
        <v>28.2</v>
      </c>
      <c r="D31" s="5">
        <v>87.82</v>
      </c>
      <c r="E31" s="5">
        <v>13.7</v>
      </c>
      <c r="F31" s="5">
        <v>116.83</v>
      </c>
      <c r="G31" s="5">
        <v>32.229999999999997</v>
      </c>
      <c r="I31" s="6" cm="1">
        <f t="array" ref="I31">st60_Temp(A31)</f>
        <v>299</v>
      </c>
      <c r="J31" s="6" cm="1">
        <f t="array" ref="J31">st60_Temp(B31)</f>
        <v>299</v>
      </c>
      <c r="K31" s="6">
        <f t="shared" si="13"/>
        <v>299</v>
      </c>
      <c r="M31">
        <f t="shared" si="14"/>
        <v>4.1103630500633837E-8</v>
      </c>
      <c r="N31">
        <f t="shared" si="15"/>
        <v>6.9502518049040728E-4</v>
      </c>
      <c r="O31">
        <f t="shared" si="16"/>
        <v>3.752434678744285E-14</v>
      </c>
      <c r="P31">
        <f t="shared" si="17"/>
        <v>5.1706655817256475E-4</v>
      </c>
      <c r="Q31">
        <f t="shared" si="18"/>
        <v>4.0541291965375774E-10</v>
      </c>
      <c r="U31" s="3">
        <f t="shared" si="12"/>
        <v>623</v>
      </c>
      <c r="V31">
        <f>N142</f>
        <v>6.7488024351795351E-4</v>
      </c>
    </row>
    <row r="32" spans="1:22" x14ac:dyDescent="0.25">
      <c r="A32">
        <v>750.11</v>
      </c>
      <c r="B32">
        <v>751.72</v>
      </c>
      <c r="C32" s="5">
        <v>29.01</v>
      </c>
      <c r="D32" s="5">
        <v>87.82</v>
      </c>
      <c r="E32" s="5">
        <v>12.09</v>
      </c>
      <c r="F32" s="5">
        <v>117.63</v>
      </c>
      <c r="G32" s="5">
        <v>32.229999999999997</v>
      </c>
      <c r="I32" s="6" cm="1">
        <f t="array" ref="I32">st60_Temp(A32)</f>
        <v>299</v>
      </c>
      <c r="J32" s="6" cm="1">
        <f t="array" ref="J32">st60_Temp(B32)</f>
        <v>299</v>
      </c>
      <c r="K32" s="6">
        <f t="shared" si="13"/>
        <v>299</v>
      </c>
      <c r="M32">
        <f t="shared" si="14"/>
        <v>4.2284266695864812E-8</v>
      </c>
      <c r="N32">
        <f t="shared" si="15"/>
        <v>6.9502518049040728E-4</v>
      </c>
      <c r="O32">
        <f t="shared" si="16"/>
        <v>3.3114551289064534E-14</v>
      </c>
      <c r="P32">
        <f t="shared" si="17"/>
        <v>5.206072005293058E-4</v>
      </c>
      <c r="Q32">
        <f t="shared" si="18"/>
        <v>4.0541291965375774E-10</v>
      </c>
      <c r="U32" s="3">
        <f t="shared" si="12"/>
        <v>673</v>
      </c>
      <c r="V32">
        <f>N165</f>
        <v>6.9721770470665184E-4</v>
      </c>
    </row>
    <row r="33" spans="1:22" x14ac:dyDescent="0.25">
      <c r="A33">
        <v>747.69</v>
      </c>
      <c r="B33">
        <v>753.33</v>
      </c>
      <c r="C33" s="5">
        <v>28.2</v>
      </c>
      <c r="D33" s="5">
        <v>86.21</v>
      </c>
      <c r="E33" s="5">
        <v>11.28</v>
      </c>
      <c r="F33" s="5">
        <v>117.63</v>
      </c>
      <c r="G33" s="5">
        <v>35.450000000000003</v>
      </c>
      <c r="I33" s="6" cm="1">
        <f t="array" ref="I33">st60_Temp(A33)</f>
        <v>299</v>
      </c>
      <c r="J33" s="6" cm="1">
        <f t="array" ref="J33">st60_Temp(B33)</f>
        <v>299</v>
      </c>
      <c r="K33" s="6">
        <f t="shared" si="13"/>
        <v>299</v>
      </c>
      <c r="M33">
        <f t="shared" si="14"/>
        <v>4.1103630500633837E-8</v>
      </c>
      <c r="N33">
        <f t="shared" si="15"/>
        <v>6.8228331598813496E-4</v>
      </c>
      <c r="O33">
        <f t="shared" si="16"/>
        <v>3.0895958522799663E-14</v>
      </c>
      <c r="P33">
        <f t="shared" si="17"/>
        <v>5.206072005293058E-4</v>
      </c>
      <c r="Q33">
        <f t="shared" si="18"/>
        <v>4.4591647538708388E-10</v>
      </c>
      <c r="U33" s="3">
        <f t="shared" si="12"/>
        <v>723</v>
      </c>
      <c r="V33">
        <f>N188</f>
        <v>7.0447455388722034E-4</v>
      </c>
    </row>
    <row r="34" spans="1:22" x14ac:dyDescent="0.25">
      <c r="A34">
        <v>746.08</v>
      </c>
      <c r="B34">
        <v>751.72</v>
      </c>
      <c r="C34" s="5">
        <v>28.2</v>
      </c>
      <c r="D34" s="5">
        <v>87.82</v>
      </c>
      <c r="E34" s="5">
        <v>12.89</v>
      </c>
      <c r="F34" s="5">
        <v>116.02</v>
      </c>
      <c r="G34" s="5">
        <v>33.03</v>
      </c>
      <c r="I34" s="6" cm="1">
        <f t="array" ref="I34">st60_Temp(A34)</f>
        <v>299</v>
      </c>
      <c r="J34" s="6" cm="1">
        <f t="array" ref="J34">st60_Temp(B34)</f>
        <v>299</v>
      </c>
      <c r="K34" s="6">
        <f t="shared" si="13"/>
        <v>299</v>
      </c>
      <c r="M34">
        <f t="shared" si="14"/>
        <v>4.1103630500633837E-8</v>
      </c>
      <c r="N34">
        <f t="shared" si="15"/>
        <v>6.9502518049040728E-4</v>
      </c>
      <c r="O34">
        <f t="shared" si="16"/>
        <v>3.5305754021177985E-14</v>
      </c>
      <c r="P34">
        <f t="shared" si="17"/>
        <v>5.1348165778636453E-4</v>
      </c>
      <c r="Q34">
        <f t="shared" si="18"/>
        <v>4.1547591486700652E-10</v>
      </c>
      <c r="U34" s="3">
        <f t="shared" si="12"/>
        <v>773</v>
      </c>
      <c r="V34">
        <f>N211</f>
        <v>6.664887550207238E-4</v>
      </c>
    </row>
    <row r="35" spans="1:22" x14ac:dyDescent="0.25">
      <c r="A35">
        <v>744.47</v>
      </c>
      <c r="B35">
        <v>748.5</v>
      </c>
      <c r="C35" s="5">
        <v>30.62</v>
      </c>
      <c r="D35" s="5">
        <v>87.82</v>
      </c>
      <c r="E35" s="5">
        <v>12.89</v>
      </c>
      <c r="F35" s="5">
        <v>116.02</v>
      </c>
      <c r="G35" s="5">
        <v>32.229999999999997</v>
      </c>
      <c r="I35" s="6" cm="1">
        <f t="array" ref="I35">st60_Temp(A35)</f>
        <v>299</v>
      </c>
      <c r="J35" s="6" cm="1">
        <f t="array" ref="J35">st60_Temp(B35)</f>
        <v>299</v>
      </c>
      <c r="K35" s="6">
        <f t="shared" si="13"/>
        <v>299</v>
      </c>
      <c r="M35">
        <f t="shared" si="14"/>
        <v>4.4630963330830075E-8</v>
      </c>
      <c r="N35">
        <f t="shared" si="15"/>
        <v>6.9502518049040728E-4</v>
      </c>
      <c r="O35">
        <f t="shared" si="16"/>
        <v>3.5305754021177985E-14</v>
      </c>
      <c r="P35">
        <f t="shared" si="17"/>
        <v>5.1348165778636453E-4</v>
      </c>
      <c r="Q35">
        <f t="shared" si="18"/>
        <v>4.0541291965375774E-10</v>
      </c>
      <c r="U35" t="s">
        <v>30</v>
      </c>
      <c r="V35">
        <f>AVERAGE(V27:V34)</f>
        <v>6.8209392416253528E-4</v>
      </c>
    </row>
    <row r="36" spans="1:22" x14ac:dyDescent="0.25">
      <c r="A36">
        <v>742.86</v>
      </c>
      <c r="B36">
        <v>750.91</v>
      </c>
      <c r="C36" s="5">
        <v>28.2</v>
      </c>
      <c r="D36" s="5">
        <v>87.82</v>
      </c>
      <c r="E36" s="5">
        <v>11.28</v>
      </c>
      <c r="F36" s="5">
        <v>116.02</v>
      </c>
      <c r="G36" s="5">
        <v>31.42</v>
      </c>
      <c r="I36" s="6" cm="1">
        <f t="array" ref="I36">st60_Temp(A36)</f>
        <v>299</v>
      </c>
      <c r="J36" s="6" cm="1">
        <f t="array" ref="J36">st60_Temp(B36)</f>
        <v>299</v>
      </c>
      <c r="K36" s="6">
        <f t="shared" si="13"/>
        <v>299</v>
      </c>
      <c r="M36">
        <f t="shared" si="14"/>
        <v>4.1103630500633837E-8</v>
      </c>
      <c r="N36">
        <f t="shared" si="15"/>
        <v>6.9502518049040728E-4</v>
      </c>
      <c r="O36">
        <f t="shared" si="16"/>
        <v>3.0895958522799663E-14</v>
      </c>
      <c r="P36">
        <f t="shared" si="17"/>
        <v>5.1348165778636453E-4</v>
      </c>
      <c r="Q36">
        <f t="shared" si="18"/>
        <v>3.9522413700034344E-10</v>
      </c>
      <c r="U36" t="s">
        <v>31</v>
      </c>
      <c r="V36">
        <f>STDEV(V27:V34)</f>
        <v>1.4934207136043777E-5</v>
      </c>
    </row>
    <row r="37" spans="1:22" x14ac:dyDescent="0.25">
      <c r="A37">
        <v>739.63</v>
      </c>
      <c r="B37">
        <v>746.08</v>
      </c>
      <c r="C37" s="5">
        <v>28.2</v>
      </c>
      <c r="D37" s="5">
        <v>88.63</v>
      </c>
      <c r="E37" s="5">
        <v>12.09</v>
      </c>
      <c r="F37" s="5">
        <v>116.83</v>
      </c>
      <c r="G37" s="5">
        <v>31.42</v>
      </c>
      <c r="I37" s="6" cm="1">
        <f t="array" ref="I37">st60_Temp(A37)</f>
        <v>299</v>
      </c>
      <c r="J37" s="6" cm="1">
        <f t="array" ref="J37">st60_Temp(B37)</f>
        <v>299</v>
      </c>
      <c r="K37" s="6">
        <f t="shared" si="13"/>
        <v>299</v>
      </c>
      <c r="M37">
        <f t="shared" si="14"/>
        <v>4.1103630500633837E-8</v>
      </c>
      <c r="N37">
        <f t="shared" si="15"/>
        <v>7.0143568374931447E-4</v>
      </c>
      <c r="O37">
        <f t="shared" si="16"/>
        <v>3.3114551289064534E-14</v>
      </c>
      <c r="P37">
        <f t="shared" si="17"/>
        <v>5.1706655817256475E-4</v>
      </c>
      <c r="Q37">
        <f t="shared" si="18"/>
        <v>3.9522413700034344E-10</v>
      </c>
      <c r="U37" s="7" t="s">
        <v>32</v>
      </c>
      <c r="V37" s="7">
        <f>ABS(100*V36/V35)</f>
        <v>2.1894649119444618</v>
      </c>
    </row>
    <row r="38" spans="1:22" x14ac:dyDescent="0.25">
      <c r="A38">
        <v>736.41</v>
      </c>
      <c r="B38">
        <v>745.27</v>
      </c>
      <c r="C38" s="5">
        <v>28.2</v>
      </c>
      <c r="D38" s="5">
        <v>87.02</v>
      </c>
      <c r="E38" s="5">
        <v>12.09</v>
      </c>
      <c r="F38" s="5">
        <v>115.22</v>
      </c>
      <c r="G38" s="5">
        <v>32.229999999999997</v>
      </c>
      <c r="I38" s="6" cm="1">
        <f t="array" ref="I38">st60_Temp(A38)</f>
        <v>300</v>
      </c>
      <c r="J38" s="6" cm="1">
        <f t="array" ref="J38">st60_Temp(B38)</f>
        <v>299</v>
      </c>
      <c r="K38" s="6">
        <f t="shared" si="13"/>
        <v>299.5</v>
      </c>
      <c r="M38">
        <f t="shared" si="14"/>
        <v>4.1311926569546769E-8</v>
      </c>
      <c r="N38">
        <f t="shared" si="15"/>
        <v>6.9328455838680984E-4</v>
      </c>
      <c r="O38">
        <f t="shared" si="16"/>
        <v>3.3114551289064534E-14</v>
      </c>
      <c r="P38">
        <f t="shared" si="17"/>
        <v>5.0994101542962348E-4</v>
      </c>
      <c r="Q38">
        <f t="shared" si="18"/>
        <v>4.0628269230863535E-10</v>
      </c>
    </row>
    <row r="39" spans="1:22" x14ac:dyDescent="0.25">
      <c r="A39">
        <v>736.41</v>
      </c>
      <c r="B39">
        <v>742.86</v>
      </c>
      <c r="C39" s="5">
        <v>29.01</v>
      </c>
      <c r="D39" s="5">
        <v>89.43</v>
      </c>
      <c r="E39" s="5">
        <v>12.09</v>
      </c>
      <c r="F39" s="5">
        <v>115.22</v>
      </c>
      <c r="G39" s="5">
        <v>33.03</v>
      </c>
      <c r="I39" s="6" cm="1">
        <f t="array" ref="I39">st60_Temp(A39)</f>
        <v>300</v>
      </c>
      <c r="J39" s="6" cm="1">
        <f t="array" ref="J39">st60_Temp(B39)</f>
        <v>299</v>
      </c>
      <c r="K39" s="6">
        <f t="shared" si="13"/>
        <v>299.5</v>
      </c>
      <c r="M39">
        <f t="shared" si="14"/>
        <v>4.2498545736969929E-8</v>
      </c>
      <c r="N39">
        <f t="shared" si="15"/>
        <v>7.1248492365585394E-4</v>
      </c>
      <c r="O39">
        <f t="shared" si="16"/>
        <v>3.3114551289064534E-14</v>
      </c>
      <c r="P39">
        <f t="shared" si="17"/>
        <v>5.0994101542962348E-4</v>
      </c>
      <c r="Q39">
        <f t="shared" si="18"/>
        <v>4.1636727666628068E-10</v>
      </c>
    </row>
    <row r="40" spans="1:22" x14ac:dyDescent="0.25">
      <c r="A40">
        <v>733.19</v>
      </c>
      <c r="B40">
        <v>739.63</v>
      </c>
      <c r="C40" s="5">
        <v>27.39</v>
      </c>
      <c r="D40" s="5">
        <v>87.82</v>
      </c>
      <c r="E40" s="5">
        <v>11.28</v>
      </c>
      <c r="F40" s="5">
        <v>116.02</v>
      </c>
      <c r="G40" s="5">
        <v>30.62</v>
      </c>
      <c r="I40" s="6" cm="1">
        <f t="array" ref="I40">st60_Temp(A40)</f>
        <v>300</v>
      </c>
      <c r="J40" s="6" cm="1">
        <f t="array" ref="J40">st60_Temp(B40)</f>
        <v>299</v>
      </c>
      <c r="K40" s="6">
        <f t="shared" si="13"/>
        <v>299.5</v>
      </c>
      <c r="M40">
        <f t="shared" si="14"/>
        <v>4.0125307402123623E-8</v>
      </c>
      <c r="N40">
        <f t="shared" si="15"/>
        <v>6.9965812362134724E-4</v>
      </c>
      <c r="O40">
        <f t="shared" si="16"/>
        <v>3.0895958522799663E-14</v>
      </c>
      <c r="P40">
        <f t="shared" si="17"/>
        <v>5.1348165778636453E-4</v>
      </c>
      <c r="Q40">
        <f t="shared" si="18"/>
        <v>3.8598746628887422E-10</v>
      </c>
    </row>
    <row r="41" spans="1:22" x14ac:dyDescent="0.25">
      <c r="A41">
        <v>732.38</v>
      </c>
      <c r="B41">
        <v>738.02</v>
      </c>
      <c r="C41" s="5">
        <v>29.81</v>
      </c>
      <c r="D41" s="5">
        <v>86.21</v>
      </c>
      <c r="E41" s="5">
        <v>13.7</v>
      </c>
      <c r="F41" s="5">
        <v>119.24</v>
      </c>
      <c r="G41" s="5">
        <v>33.03</v>
      </c>
      <c r="I41" s="6" cm="1">
        <f t="array" ref="I41">st60_Temp(A41)</f>
        <v>300</v>
      </c>
      <c r="J41" s="6" cm="1">
        <f t="array" ref="J41">st60_Temp(B41)</f>
        <v>299</v>
      </c>
      <c r="K41" s="6">
        <f t="shared" si="13"/>
        <v>299.5</v>
      </c>
      <c r="M41">
        <f t="shared" si="14"/>
        <v>4.3670515285042173E-8</v>
      </c>
      <c r="N41">
        <f t="shared" si="15"/>
        <v>6.8683132358684064E-4</v>
      </c>
      <c r="O41">
        <f t="shared" si="16"/>
        <v>3.752434678744285E-14</v>
      </c>
      <c r="P41">
        <f t="shared" si="17"/>
        <v>5.2773274327224708E-4</v>
      </c>
      <c r="Q41">
        <f t="shared" si="18"/>
        <v>4.1636727666628068E-10</v>
      </c>
      <c r="U41" t="s">
        <v>26</v>
      </c>
      <c r="V41" t="s">
        <v>2</v>
      </c>
    </row>
    <row r="42" spans="1:22" x14ac:dyDescent="0.25">
      <c r="A42">
        <v>729.96</v>
      </c>
      <c r="B42">
        <v>737.22</v>
      </c>
      <c r="C42" s="5">
        <v>29.81</v>
      </c>
      <c r="D42" s="5">
        <v>87.02</v>
      </c>
      <c r="E42" s="5">
        <v>12.09</v>
      </c>
      <c r="F42" s="5">
        <v>116.02</v>
      </c>
      <c r="G42" s="5">
        <v>33.03</v>
      </c>
      <c r="I42" s="6" cm="1">
        <f t="array" ref="I42">st60_Temp(A42)</f>
        <v>300</v>
      </c>
      <c r="J42" s="6" cm="1">
        <f t="array" ref="J42">st60_Temp(B42)</f>
        <v>299</v>
      </c>
      <c r="K42" s="6">
        <f t="shared" si="13"/>
        <v>299.5</v>
      </c>
      <c r="M42">
        <f t="shared" si="14"/>
        <v>4.3670515285042173E-8</v>
      </c>
      <c r="N42">
        <f t="shared" si="15"/>
        <v>6.9328455838680984E-4</v>
      </c>
      <c r="O42">
        <f t="shared" si="16"/>
        <v>3.3114551289064534E-14</v>
      </c>
      <c r="P42">
        <f t="shared" si="17"/>
        <v>5.1348165778636453E-4</v>
      </c>
      <c r="Q42">
        <f t="shared" si="18"/>
        <v>4.1636727666628068E-10</v>
      </c>
      <c r="U42" s="3">
        <v>373</v>
      </c>
      <c r="V42">
        <f>O26</f>
        <v>4.3500709745279927E-14</v>
      </c>
    </row>
    <row r="43" spans="1:22" x14ac:dyDescent="0.25">
      <c r="A43">
        <v>727.55</v>
      </c>
      <c r="B43">
        <v>737.22</v>
      </c>
      <c r="C43" s="5">
        <v>28.2</v>
      </c>
      <c r="D43" s="5">
        <v>87.02</v>
      </c>
      <c r="E43" s="5">
        <v>11.28</v>
      </c>
      <c r="F43" s="5">
        <v>117.63</v>
      </c>
      <c r="G43" s="5">
        <v>33.03</v>
      </c>
      <c r="I43" s="6" cm="1">
        <f t="array" ref="I43">st60_Temp(A43)</f>
        <v>300</v>
      </c>
      <c r="J43" s="6" cm="1">
        <f t="array" ref="J43">st60_Temp(B43)</f>
        <v>299</v>
      </c>
      <c r="K43" s="6">
        <f t="shared" si="13"/>
        <v>299.5</v>
      </c>
      <c r="M43">
        <f t="shared" si="14"/>
        <v>4.1311926569546769E-8</v>
      </c>
      <c r="N43">
        <f t="shared" si="15"/>
        <v>6.9328455838680984E-4</v>
      </c>
      <c r="O43">
        <f t="shared" si="16"/>
        <v>3.0895958522799663E-14</v>
      </c>
      <c r="P43">
        <f t="shared" si="17"/>
        <v>5.206072005293058E-4</v>
      </c>
      <c r="Q43">
        <f t="shared" si="18"/>
        <v>4.1636727666628068E-10</v>
      </c>
      <c r="U43" s="3">
        <f>U42+50</f>
        <v>423</v>
      </c>
      <c r="V43">
        <f>O49</f>
        <v>3.3569901857082273E-14</v>
      </c>
    </row>
    <row r="44" spans="1:22" x14ac:dyDescent="0.25">
      <c r="A44">
        <v>726.74</v>
      </c>
      <c r="B44">
        <v>736.41</v>
      </c>
      <c r="C44" s="5">
        <v>26.59</v>
      </c>
      <c r="D44" s="5">
        <v>85.4</v>
      </c>
      <c r="E44" s="5">
        <v>10.47</v>
      </c>
      <c r="F44" s="5">
        <v>115.22</v>
      </c>
      <c r="G44" s="5">
        <v>32.229999999999997</v>
      </c>
      <c r="I44" s="6" cm="1">
        <f t="array" ref="I44">st60_Temp(A44)</f>
        <v>300</v>
      </c>
      <c r="J44" s="6" cm="1">
        <f t="array" ref="J44">st60_Temp(B44)</f>
        <v>300</v>
      </c>
      <c r="K44" s="6">
        <f t="shared" si="13"/>
        <v>300</v>
      </c>
      <c r="M44">
        <f t="shared" si="14"/>
        <v>3.8953337854051373E-8</v>
      </c>
      <c r="N44">
        <f t="shared" si="15"/>
        <v>6.8037808878687166E-4</v>
      </c>
      <c r="O44">
        <f t="shared" si="16"/>
        <v>2.8768792036267397E-14</v>
      </c>
      <c r="P44">
        <f t="shared" si="17"/>
        <v>5.1328060240749852E-4</v>
      </c>
      <c r="Q44">
        <f t="shared" si="18"/>
        <v>4.0716088580878223E-10</v>
      </c>
      <c r="U44" s="3">
        <f t="shared" ref="U44:U50" si="19">U43+50</f>
        <v>473</v>
      </c>
      <c r="V44">
        <f>O73</f>
        <v>3.2139125365964542E-14</v>
      </c>
    </row>
    <row r="45" spans="1:22" x14ac:dyDescent="0.25">
      <c r="A45">
        <v>723.52</v>
      </c>
      <c r="B45">
        <v>733.99</v>
      </c>
      <c r="C45" s="5">
        <v>29.81</v>
      </c>
      <c r="D45" s="5">
        <v>84.6</v>
      </c>
      <c r="E45" s="5">
        <v>12.89</v>
      </c>
      <c r="F45" s="5">
        <v>113.6</v>
      </c>
      <c r="G45" s="5">
        <v>33.840000000000003</v>
      </c>
      <c r="I45" s="6" cm="1">
        <f t="array" ref="I45">st60_Temp(A45)</f>
        <v>300</v>
      </c>
      <c r="J45" s="6" cm="1">
        <f t="array" ref="J45">st60_Temp(B45)</f>
        <v>300</v>
      </c>
      <c r="K45" s="6">
        <f t="shared" si="13"/>
        <v>300</v>
      </c>
      <c r="M45">
        <f t="shared" si="14"/>
        <v>4.3670515285042173E-8</v>
      </c>
      <c r="N45">
        <f t="shared" si="15"/>
        <v>6.7400452355233405E-4</v>
      </c>
      <c r="O45">
        <f t="shared" si="16"/>
        <v>3.5418312258594723E-14</v>
      </c>
      <c r="P45">
        <f t="shared" si="17"/>
        <v>5.0606384684509476E-4</v>
      </c>
      <c r="Q45">
        <f t="shared" si="18"/>
        <v>4.2749998063199482E-10</v>
      </c>
      <c r="U45" s="3">
        <f t="shared" si="19"/>
        <v>523</v>
      </c>
      <c r="V45">
        <f>O96</f>
        <v>3.2793995598538088E-14</v>
      </c>
    </row>
    <row r="46" spans="1:22" x14ac:dyDescent="0.25">
      <c r="A46">
        <v>721.91</v>
      </c>
      <c r="B46">
        <v>733.19</v>
      </c>
      <c r="C46" s="5">
        <v>29.01</v>
      </c>
      <c r="D46" s="5">
        <v>86.21</v>
      </c>
      <c r="E46" s="5">
        <v>12.09</v>
      </c>
      <c r="F46" s="5">
        <v>116.83</v>
      </c>
      <c r="G46" s="5">
        <v>32.229999999999997</v>
      </c>
      <c r="I46" s="6" cm="1">
        <f t="array" ref="I46">st60_Temp(A46)</f>
        <v>300</v>
      </c>
      <c r="J46" s="6" cm="1">
        <f t="array" ref="J46">st60_Temp(B46)</f>
        <v>300</v>
      </c>
      <c r="K46" s="6">
        <f t="shared" si="13"/>
        <v>300</v>
      </c>
      <c r="M46">
        <f t="shared" si="14"/>
        <v>4.2498545736969929E-8</v>
      </c>
      <c r="N46">
        <f t="shared" si="15"/>
        <v>6.8683132358684064E-4</v>
      </c>
      <c r="O46">
        <f t="shared" si="16"/>
        <v>3.3220123755346017E-14</v>
      </c>
      <c r="P46">
        <f t="shared" si="17"/>
        <v>5.2045281009606014E-4</v>
      </c>
      <c r="Q46">
        <f t="shared" si="18"/>
        <v>4.0716088580878223E-10</v>
      </c>
      <c r="U46" s="3">
        <f t="shared" si="19"/>
        <v>573</v>
      </c>
      <c r="V46">
        <f>O119</f>
        <v>3.2743523752684228E-14</v>
      </c>
    </row>
    <row r="47" spans="1:22" x14ac:dyDescent="0.25">
      <c r="A47">
        <v>719.49</v>
      </c>
      <c r="B47">
        <v>729.96</v>
      </c>
      <c r="C47" s="5">
        <v>27.39</v>
      </c>
      <c r="D47" s="5">
        <v>85.4</v>
      </c>
      <c r="E47" s="5">
        <v>12.09</v>
      </c>
      <c r="F47" s="5">
        <v>114.41</v>
      </c>
      <c r="G47" s="5">
        <v>34.65</v>
      </c>
      <c r="I47" s="6" cm="1">
        <f t="array" ref="I47">st60_Temp(A47)</f>
        <v>300</v>
      </c>
      <c r="J47" s="6" cm="1">
        <f t="array" ref="J47">st60_Temp(B47)</f>
        <v>300</v>
      </c>
      <c r="K47" s="6">
        <f t="shared" si="13"/>
        <v>300</v>
      </c>
      <c r="M47">
        <f t="shared" si="14"/>
        <v>4.0125307402123623E-8</v>
      </c>
      <c r="N47">
        <f t="shared" si="15"/>
        <v>6.8037808878687166E-4</v>
      </c>
      <c r="O47">
        <f t="shared" si="16"/>
        <v>3.3220123755346017E-14</v>
      </c>
      <c r="P47">
        <f t="shared" si="17"/>
        <v>5.096722246262967E-4</v>
      </c>
      <c r="Q47">
        <f t="shared" si="18"/>
        <v>4.3773269293435631E-10</v>
      </c>
      <c r="U47" s="3">
        <f t="shared" si="19"/>
        <v>623</v>
      </c>
      <c r="V47">
        <f>O142</f>
        <v>3.3869258528366646E-14</v>
      </c>
    </row>
    <row r="48" spans="1:22" x14ac:dyDescent="0.25">
      <c r="A48">
        <v>717.88</v>
      </c>
      <c r="B48">
        <v>730.77</v>
      </c>
      <c r="C48" s="5">
        <v>26.59</v>
      </c>
      <c r="D48" s="5">
        <v>87.02</v>
      </c>
      <c r="E48" s="5">
        <v>12.89</v>
      </c>
      <c r="F48" s="5">
        <v>113.6</v>
      </c>
      <c r="G48" s="5">
        <v>32.229999999999997</v>
      </c>
      <c r="I48" s="6" cm="1">
        <f t="array" ref="I48">st60_Temp(A48)</f>
        <v>300</v>
      </c>
      <c r="J48" s="6" cm="1">
        <f t="array" ref="J48">st60_Temp(B48)</f>
        <v>300</v>
      </c>
      <c r="K48" s="6">
        <f t="shared" si="13"/>
        <v>300</v>
      </c>
      <c r="M48">
        <f t="shared" si="14"/>
        <v>3.8953337854051373E-8</v>
      </c>
      <c r="N48">
        <f t="shared" si="15"/>
        <v>6.9328455838680984E-4</v>
      </c>
      <c r="O48">
        <f t="shared" si="16"/>
        <v>3.5418312258594723E-14</v>
      </c>
      <c r="P48">
        <f t="shared" si="17"/>
        <v>5.0606384684509476E-4</v>
      </c>
      <c r="Q48">
        <f t="shared" si="18"/>
        <v>4.0716088580878223E-10</v>
      </c>
      <c r="U48" s="3">
        <f t="shared" si="19"/>
        <v>673</v>
      </c>
      <c r="V48">
        <f>O165</f>
        <v>3.3405387739729118E-14</v>
      </c>
    </row>
    <row r="49" spans="1:22" x14ac:dyDescent="0.25">
      <c r="C49" s="11">
        <f>AVERAGE(C29:C48)</f>
        <v>28.482499999999998</v>
      </c>
      <c r="D49" s="11">
        <f t="shared" ref="D49:G49" si="20">AVERAGE(D29:D48)</f>
        <v>87.378499999999988</v>
      </c>
      <c r="E49" s="11">
        <f t="shared" si="20"/>
        <v>12.248499999999998</v>
      </c>
      <c r="F49" s="11">
        <f t="shared" si="20"/>
        <v>116.18249999999998</v>
      </c>
      <c r="G49" s="11">
        <f t="shared" si="20"/>
        <v>32.5505</v>
      </c>
      <c r="H49" s="11">
        <f>H28</f>
        <v>423</v>
      </c>
      <c r="I49" s="11">
        <f>AVERAGE(I29:I48)</f>
        <v>299.55</v>
      </c>
      <c r="J49" s="11">
        <f t="shared" ref="J49:K49" si="21">AVERAGE(J29:J48)</f>
        <v>299.2</v>
      </c>
      <c r="K49" s="11">
        <f t="shared" si="21"/>
        <v>299.375</v>
      </c>
      <c r="M49" s="4">
        <f>AVERAGE(M29:M48)</f>
        <v>4.1630553035343631E-8</v>
      </c>
      <c r="N49" s="4">
        <f t="shared" ref="N49:Q49" si="22">AVERAGE(N29:N48)</f>
        <v>6.9404523139084291E-4</v>
      </c>
      <c r="O49" s="4">
        <f t="shared" si="22"/>
        <v>3.3569901857082273E-14</v>
      </c>
      <c r="P49" s="4">
        <f t="shared" si="22"/>
        <v>5.148657225294964E-4</v>
      </c>
      <c r="Q49" s="4">
        <f t="shared" si="22"/>
        <v>4.1011448304753251E-10</v>
      </c>
      <c r="R49" s="4" t="s">
        <v>18</v>
      </c>
      <c r="U49" s="3">
        <f t="shared" si="19"/>
        <v>723</v>
      </c>
      <c r="V49">
        <f>O188</f>
        <v>3.3532113621191456E-14</v>
      </c>
    </row>
    <row r="50" spans="1:22" x14ac:dyDescent="0.25">
      <c r="C50" s="5"/>
      <c r="D50" s="5"/>
      <c r="E50" s="5"/>
      <c r="F50" s="5"/>
      <c r="G50" s="5"/>
      <c r="I50" s="6"/>
      <c r="J50" s="6"/>
      <c r="K50" s="6"/>
      <c r="M50" s="8">
        <f>STDEV(M29:M48)</f>
        <v>1.5318328636905451E-9</v>
      </c>
      <c r="N50" s="8">
        <f t="shared" ref="N50:Q50" si="23">STDEV(N29:N48)</f>
        <v>1.0909959441872897E-5</v>
      </c>
      <c r="O50" s="8">
        <f t="shared" si="23"/>
        <v>2.4389015939155213E-15</v>
      </c>
      <c r="P50" s="8">
        <f t="shared" si="23"/>
        <v>5.3997550388061764E-6</v>
      </c>
      <c r="Q50" s="8">
        <f t="shared" si="23"/>
        <v>1.5132663193040044E-11</v>
      </c>
      <c r="R50" s="8" t="s">
        <v>19</v>
      </c>
      <c r="U50" s="3">
        <f t="shared" si="19"/>
        <v>773</v>
      </c>
      <c r="V50">
        <f>O211</f>
        <v>3.2088275950655961E-14</v>
      </c>
    </row>
    <row r="51" spans="1:22" x14ac:dyDescent="0.25">
      <c r="A51" t="s">
        <v>0</v>
      </c>
      <c r="B51" t="s">
        <v>1</v>
      </c>
      <c r="C51" s="5">
        <v>3.95</v>
      </c>
      <c r="D51" s="5">
        <v>10.95</v>
      </c>
      <c r="E51" s="5" t="s">
        <v>2</v>
      </c>
      <c r="F51" s="5" t="s">
        <v>3</v>
      </c>
      <c r="G51" s="5" t="s">
        <v>4</v>
      </c>
      <c r="H51" s="3">
        <f>200+273</f>
        <v>473</v>
      </c>
      <c r="I51" s="6"/>
      <c r="J51" s="6"/>
      <c r="K51" s="6"/>
      <c r="M51" s="7">
        <f>ABS(100*M50/M49)</f>
        <v>3.6795880717463567</v>
      </c>
      <c r="N51" s="7">
        <f t="shared" ref="N51:Q51" si="24">ABS(100*N50/N49)</f>
        <v>1.5719378144864871</v>
      </c>
      <c r="O51" s="7">
        <f t="shared" si="24"/>
        <v>7.2651436524857873</v>
      </c>
      <c r="P51" s="7">
        <f t="shared" si="24"/>
        <v>1.0487695728271806</v>
      </c>
      <c r="Q51" s="7">
        <f t="shared" si="24"/>
        <v>3.6898631525008008</v>
      </c>
      <c r="R51" s="7" t="s">
        <v>20</v>
      </c>
      <c r="U51" t="s">
        <v>30</v>
      </c>
      <c r="V51">
        <f>AVERAGE(V43:V50)</f>
        <v>3.3017697801776539E-14</v>
      </c>
    </row>
    <row r="52" spans="1:22" x14ac:dyDescent="0.25">
      <c r="A52">
        <v>692.1</v>
      </c>
      <c r="B52">
        <v>708.21</v>
      </c>
      <c r="C52" s="5">
        <v>43.51</v>
      </c>
      <c r="D52" s="5">
        <v>131.33000000000001</v>
      </c>
      <c r="E52" s="5">
        <v>23.37</v>
      </c>
      <c r="F52" s="5">
        <v>181.28</v>
      </c>
      <c r="G52" s="5">
        <v>57.2</v>
      </c>
      <c r="I52" s="6" cm="1">
        <f t="array" ref="I52">st60_Temp(A52)</f>
        <v>301</v>
      </c>
      <c r="J52" s="6" cm="1">
        <f t="array" ref="J52">st60_Temp(B52)</f>
        <v>301</v>
      </c>
      <c r="K52" s="6">
        <f t="shared" ref="K52:K72" si="25">AVERAGE(I52:J52)</f>
        <v>301</v>
      </c>
      <c r="M52">
        <f t="shared" ref="M52:M72" si="26">C52/($H$51^MMpow-$I52^MMpow)</f>
        <v>3.8196467499205855E-8</v>
      </c>
      <c r="N52">
        <f t="shared" ref="N52:N72" si="27">D52/($H$51^MLpow-$I52^MLpow)</f>
        <v>6.9622385715684349E-4</v>
      </c>
      <c r="O52">
        <f t="shared" ref="O52:O72" si="28">E52/($H$51^MWpow-$J52^MWpow)</f>
        <v>3.1956195553179377E-14</v>
      </c>
      <c r="P52">
        <f t="shared" ref="P52:P72" si="29">F52/($H$51^LWpow-$J52^LWpow)</f>
        <v>5.3383413878487233E-4</v>
      </c>
      <c r="Q52">
        <f t="shared" ref="Q52:Q72" si="30">G52/($H$51^Wpow-$K52^Wpow)</f>
        <v>4.0624786520733579E-10</v>
      </c>
      <c r="U52" t="s">
        <v>31</v>
      </c>
      <c r="V52">
        <f>STDEV(V43:V50)</f>
        <v>6.7675071378496327E-16</v>
      </c>
    </row>
    <row r="53" spans="1:22" x14ac:dyDescent="0.25">
      <c r="A53">
        <v>691.29</v>
      </c>
      <c r="B53">
        <v>706.6</v>
      </c>
      <c r="C53" s="5">
        <v>44.31</v>
      </c>
      <c r="D53" s="5">
        <v>132.13</v>
      </c>
      <c r="E53" s="5">
        <v>23.37</v>
      </c>
      <c r="F53" s="5">
        <v>179.67</v>
      </c>
      <c r="G53" s="5">
        <v>55.59</v>
      </c>
      <c r="I53" s="6" cm="1">
        <f t="array" ref="I53">st60_Temp(A53)</f>
        <v>301</v>
      </c>
      <c r="J53" s="6" cm="1">
        <f t="array" ref="J53">st60_Temp(B53)</f>
        <v>301</v>
      </c>
      <c r="K53" s="6">
        <f t="shared" si="25"/>
        <v>301</v>
      </c>
      <c r="M53">
        <f t="shared" si="26"/>
        <v>3.8898769820496701E-8</v>
      </c>
      <c r="N53">
        <f t="shared" si="27"/>
        <v>7.004649223036147E-4</v>
      </c>
      <c r="O53">
        <f t="shared" si="28"/>
        <v>3.1956195553179377E-14</v>
      </c>
      <c r="P53">
        <f t="shared" si="29"/>
        <v>5.290930037261585E-4</v>
      </c>
      <c r="Q53">
        <f t="shared" si="30"/>
        <v>3.9481326620412229E-10</v>
      </c>
      <c r="U53" s="7" t="s">
        <v>32</v>
      </c>
      <c r="V53" s="7">
        <f>ABS(100*V52/V51)</f>
        <v>2.0496605119105253</v>
      </c>
    </row>
    <row r="54" spans="1:22" x14ac:dyDescent="0.25">
      <c r="A54">
        <v>690.48</v>
      </c>
      <c r="B54">
        <v>703.38</v>
      </c>
      <c r="C54" s="5">
        <v>42.7</v>
      </c>
      <c r="D54" s="5">
        <v>130.52000000000001</v>
      </c>
      <c r="E54" s="5">
        <v>24.17</v>
      </c>
      <c r="F54" s="5">
        <v>183.7</v>
      </c>
      <c r="G54" s="5">
        <v>55.59</v>
      </c>
      <c r="I54" s="6" cm="1">
        <f t="array" ref="I54">st60_Temp(A54)</f>
        <v>301</v>
      </c>
      <c r="J54" s="6" cm="1">
        <f t="array" ref="J54">st60_Temp(B54)</f>
        <v>301</v>
      </c>
      <c r="K54" s="6">
        <f t="shared" si="25"/>
        <v>301</v>
      </c>
      <c r="M54">
        <f t="shared" si="26"/>
        <v>3.7485386398898876E-8</v>
      </c>
      <c r="N54">
        <f t="shared" si="27"/>
        <v>6.9192977869573754E-4</v>
      </c>
      <c r="O54">
        <f t="shared" si="28"/>
        <v>3.3050117523335285E-14</v>
      </c>
      <c r="P54">
        <f t="shared" si="29"/>
        <v>5.4096056539486455E-4</v>
      </c>
      <c r="Q54">
        <f t="shared" si="30"/>
        <v>3.9481326620412229E-10</v>
      </c>
    </row>
    <row r="55" spans="1:22" x14ac:dyDescent="0.25">
      <c r="A55">
        <v>686.46</v>
      </c>
      <c r="B55">
        <v>704.18</v>
      </c>
      <c r="C55" s="5">
        <v>43.51</v>
      </c>
      <c r="D55" s="5">
        <v>132.13</v>
      </c>
      <c r="E55" s="5">
        <v>24.17</v>
      </c>
      <c r="F55" s="5">
        <v>182.09</v>
      </c>
      <c r="G55" s="5">
        <v>58.01</v>
      </c>
      <c r="I55" s="6" cm="1">
        <f t="array" ref="I55">st60_Temp(A55)</f>
        <v>302</v>
      </c>
      <c r="J55" s="6" cm="1">
        <f t="array" ref="J55">st60_Temp(B55)</f>
        <v>301</v>
      </c>
      <c r="K55" s="6">
        <f t="shared" si="25"/>
        <v>301.5</v>
      </c>
      <c r="M55">
        <f t="shared" si="26"/>
        <v>3.831471245212385E-8</v>
      </c>
      <c r="N55">
        <f t="shared" si="27"/>
        <v>7.0360778915579841E-4</v>
      </c>
      <c r="O55">
        <f t="shared" si="28"/>
        <v>3.3050117523335285E-14</v>
      </c>
      <c r="P55">
        <f t="shared" si="29"/>
        <v>5.3621943033615072E-4</v>
      </c>
      <c r="Q55">
        <f t="shared" si="30"/>
        <v>4.1251001920739594E-10</v>
      </c>
    </row>
    <row r="56" spans="1:22" x14ac:dyDescent="0.25">
      <c r="A56">
        <v>684.04</v>
      </c>
      <c r="B56">
        <v>700.15</v>
      </c>
      <c r="C56" s="5">
        <v>42.7</v>
      </c>
      <c r="D56" s="5">
        <v>130.52000000000001</v>
      </c>
      <c r="E56" s="5">
        <v>23.37</v>
      </c>
      <c r="F56" s="5">
        <v>180.48</v>
      </c>
      <c r="G56" s="5">
        <v>57.2</v>
      </c>
      <c r="I56" s="6" cm="1">
        <f t="array" ref="I56">st60_Temp(A56)</f>
        <v>302</v>
      </c>
      <c r="J56" s="6" cm="1">
        <f t="array" ref="J56">st60_Temp(B56)</f>
        <v>301</v>
      </c>
      <c r="K56" s="6">
        <f t="shared" si="25"/>
        <v>301.5</v>
      </c>
      <c r="M56">
        <f t="shared" si="26"/>
        <v>3.7601430055290471E-8</v>
      </c>
      <c r="N56">
        <f t="shared" si="27"/>
        <v>6.9503434981166138E-4</v>
      </c>
      <c r="O56">
        <f t="shared" si="28"/>
        <v>3.1956195553179377E-14</v>
      </c>
      <c r="P56">
        <f t="shared" si="29"/>
        <v>5.3147829527743688E-4</v>
      </c>
      <c r="Q56">
        <f t="shared" si="30"/>
        <v>4.067500965120333E-10</v>
      </c>
    </row>
    <row r="57" spans="1:22" x14ac:dyDescent="0.25">
      <c r="A57">
        <v>681.62</v>
      </c>
      <c r="B57">
        <v>700.15</v>
      </c>
      <c r="C57" s="5">
        <v>41.09</v>
      </c>
      <c r="D57" s="5">
        <v>126.49</v>
      </c>
      <c r="E57" s="5">
        <v>24.17</v>
      </c>
      <c r="F57" s="5">
        <v>182.09</v>
      </c>
      <c r="G57" s="5">
        <v>58.82</v>
      </c>
      <c r="I57" s="6" cm="1">
        <f t="array" ref="I57">st60_Temp(A57)</f>
        <v>302</v>
      </c>
      <c r="J57" s="6" cm="1">
        <f t="array" ref="J57">st60_Temp(B57)</f>
        <v>301</v>
      </c>
      <c r="K57" s="6">
        <f t="shared" si="25"/>
        <v>301.5</v>
      </c>
      <c r="M57">
        <f t="shared" si="26"/>
        <v>3.6183671217140178E-8</v>
      </c>
      <c r="N57">
        <f t="shared" si="27"/>
        <v>6.7357412586329334E-4</v>
      </c>
      <c r="O57">
        <f t="shared" si="28"/>
        <v>3.3050117523335285E-14</v>
      </c>
      <c r="P57">
        <f t="shared" si="29"/>
        <v>5.3621943033615072E-4</v>
      </c>
      <c r="Q57">
        <f t="shared" si="30"/>
        <v>4.1826994190275869E-10</v>
      </c>
      <c r="U57" t="s">
        <v>26</v>
      </c>
      <c r="V57" t="s">
        <v>3</v>
      </c>
    </row>
    <row r="58" spans="1:22" x14ac:dyDescent="0.25">
      <c r="A58">
        <v>680.01</v>
      </c>
      <c r="B58">
        <v>697.74</v>
      </c>
      <c r="C58" s="5">
        <v>39.479999999999997</v>
      </c>
      <c r="D58" s="5">
        <v>129.72</v>
      </c>
      <c r="E58" s="5">
        <v>23.37</v>
      </c>
      <c r="F58" s="5">
        <v>181.28</v>
      </c>
      <c r="G58" s="5">
        <v>58.01</v>
      </c>
      <c r="I58" s="6" cm="1">
        <f t="array" ref="I58">st60_Temp(A58)</f>
        <v>302</v>
      </c>
      <c r="J58" s="6" cm="1">
        <f t="array" ref="J58">st60_Temp(B58)</f>
        <v>301</v>
      </c>
      <c r="K58" s="6">
        <f t="shared" si="25"/>
        <v>301.5</v>
      </c>
      <c r="M58">
        <f t="shared" si="26"/>
        <v>3.4765912378989877E-8</v>
      </c>
      <c r="N58">
        <f t="shared" si="27"/>
        <v>6.9077425572761802E-4</v>
      </c>
      <c r="O58">
        <f t="shared" si="28"/>
        <v>3.1956195553179377E-14</v>
      </c>
      <c r="P58">
        <f t="shared" si="29"/>
        <v>5.3383413878487233E-4</v>
      </c>
      <c r="Q58">
        <f t="shared" si="30"/>
        <v>4.1251001920739594E-10</v>
      </c>
      <c r="U58" s="3">
        <v>373</v>
      </c>
      <c r="V58">
        <f>P49</f>
        <v>5.148657225294964E-4</v>
      </c>
    </row>
    <row r="59" spans="1:22" x14ac:dyDescent="0.25">
      <c r="A59">
        <v>675.18</v>
      </c>
      <c r="B59">
        <v>693.71</v>
      </c>
      <c r="C59" s="5">
        <v>41.9</v>
      </c>
      <c r="D59" s="5">
        <v>127.3</v>
      </c>
      <c r="E59" s="5">
        <v>22.56</v>
      </c>
      <c r="F59" s="5">
        <v>180.48</v>
      </c>
      <c r="G59" s="5">
        <v>56.4</v>
      </c>
      <c r="I59" s="6" cm="1">
        <f t="array" ref="I59">st60_Temp(A59)</f>
        <v>302</v>
      </c>
      <c r="J59" s="6" cm="1">
        <f t="array" ref="J59">st60_Temp(B59)</f>
        <v>301</v>
      </c>
      <c r="K59" s="6">
        <f t="shared" si="25"/>
        <v>301.5</v>
      </c>
      <c r="M59">
        <f t="shared" si="26"/>
        <v>3.689695361397355E-8</v>
      </c>
      <c r="N59">
        <f t="shared" si="27"/>
        <v>6.7788747112338711E-4</v>
      </c>
      <c r="O59">
        <f t="shared" si="28"/>
        <v>3.0848599558396519E-14</v>
      </c>
      <c r="P59">
        <f t="shared" si="29"/>
        <v>5.3147829527743688E-4</v>
      </c>
      <c r="Q59">
        <f t="shared" si="30"/>
        <v>4.010612839734034E-10</v>
      </c>
      <c r="U59" s="3">
        <f>U58+50</f>
        <v>423</v>
      </c>
      <c r="V59">
        <v>5.7429289595736994E-4</v>
      </c>
    </row>
    <row r="60" spans="1:22" x14ac:dyDescent="0.25">
      <c r="A60">
        <v>674.37</v>
      </c>
      <c r="B60">
        <v>692.1</v>
      </c>
      <c r="C60" s="5">
        <v>41.9</v>
      </c>
      <c r="D60" s="5">
        <v>125.69</v>
      </c>
      <c r="E60" s="5">
        <v>24.17</v>
      </c>
      <c r="F60" s="5">
        <v>181.28</v>
      </c>
      <c r="G60" s="5">
        <v>58.01</v>
      </c>
      <c r="I60" s="6" cm="1">
        <f t="array" ref="I60">st60_Temp(A60)</f>
        <v>302</v>
      </c>
      <c r="J60" s="6" cm="1">
        <f t="array" ref="J60">st60_Temp(B60)</f>
        <v>301</v>
      </c>
      <c r="K60" s="6">
        <f t="shared" si="25"/>
        <v>301.5</v>
      </c>
      <c r="M60">
        <f t="shared" si="26"/>
        <v>3.689695361397355E-8</v>
      </c>
      <c r="N60">
        <f t="shared" si="27"/>
        <v>6.6931403177924998E-4</v>
      </c>
      <c r="O60">
        <f t="shared" si="28"/>
        <v>3.3050117523335285E-14</v>
      </c>
      <c r="P60">
        <f t="shared" si="29"/>
        <v>5.3383413878487233E-4</v>
      </c>
      <c r="Q60">
        <f t="shared" si="30"/>
        <v>4.1251001920739594E-10</v>
      </c>
      <c r="U60" s="3">
        <f t="shared" ref="U60:U66" si="31">U59+50</f>
        <v>473</v>
      </c>
      <c r="V60">
        <f>P73</f>
        <v>5.3234062131143184E-4</v>
      </c>
    </row>
    <row r="61" spans="1:22" x14ac:dyDescent="0.25">
      <c r="A61">
        <v>672.76</v>
      </c>
      <c r="B61">
        <v>688.87</v>
      </c>
      <c r="C61" s="5">
        <v>43.51</v>
      </c>
      <c r="D61" s="5">
        <v>130.52000000000001</v>
      </c>
      <c r="E61" s="5">
        <v>24.98</v>
      </c>
      <c r="F61" s="5">
        <v>179.67</v>
      </c>
      <c r="G61" s="5">
        <v>58.01</v>
      </c>
      <c r="I61" s="6" cm="1">
        <f t="array" ref="I61">st60_Temp(A61)</f>
        <v>302</v>
      </c>
      <c r="J61" s="6" cm="1">
        <f t="array" ref="J61">st60_Temp(B61)</f>
        <v>302</v>
      </c>
      <c r="K61" s="6">
        <f t="shared" si="25"/>
        <v>302</v>
      </c>
      <c r="M61">
        <f t="shared" si="26"/>
        <v>3.831471245212385E-8</v>
      </c>
      <c r="N61">
        <f t="shared" si="27"/>
        <v>6.9503434981166138E-4</v>
      </c>
      <c r="O61">
        <f t="shared" si="28"/>
        <v>3.4213671772124062E-14</v>
      </c>
      <c r="P61">
        <f t="shared" si="29"/>
        <v>5.3141116179570061E-4</v>
      </c>
      <c r="Q61">
        <f t="shared" si="30"/>
        <v>4.1302333889399332E-10</v>
      </c>
      <c r="U61" s="3">
        <f t="shared" si="31"/>
        <v>523</v>
      </c>
      <c r="V61">
        <f>P96</f>
        <v>5.4808904712431734E-4</v>
      </c>
    </row>
    <row r="62" spans="1:22" x14ac:dyDescent="0.25">
      <c r="A62">
        <v>667.12</v>
      </c>
      <c r="B62">
        <v>688.07</v>
      </c>
      <c r="C62" s="5">
        <v>41.9</v>
      </c>
      <c r="D62" s="5">
        <v>128.11000000000001</v>
      </c>
      <c r="E62" s="5">
        <v>23.37</v>
      </c>
      <c r="F62" s="5">
        <v>179.67</v>
      </c>
      <c r="G62" s="5">
        <v>57.2</v>
      </c>
      <c r="I62" s="6" cm="1">
        <f t="array" ref="I62">st60_Temp(A62)</f>
        <v>302</v>
      </c>
      <c r="J62" s="6" cm="1">
        <f t="array" ref="J62">st60_Temp(B62)</f>
        <v>302</v>
      </c>
      <c r="K62" s="6">
        <f t="shared" si="25"/>
        <v>302</v>
      </c>
      <c r="M62">
        <f t="shared" si="26"/>
        <v>3.689695361397355E-8</v>
      </c>
      <c r="N62">
        <f t="shared" si="27"/>
        <v>6.8220081638348099E-4</v>
      </c>
      <c r="O62">
        <f t="shared" si="28"/>
        <v>3.2008547210349859E-14</v>
      </c>
      <c r="P62">
        <f t="shared" si="29"/>
        <v>5.3141116179570061E-4</v>
      </c>
      <c r="Q62">
        <f t="shared" si="30"/>
        <v>4.0725624865947978E-10</v>
      </c>
      <c r="U62" s="3">
        <f t="shared" si="31"/>
        <v>573</v>
      </c>
      <c r="V62">
        <f>P119</f>
        <v>5.5964434168587587E-4</v>
      </c>
    </row>
    <row r="63" spans="1:22" x14ac:dyDescent="0.25">
      <c r="A63">
        <v>667.93</v>
      </c>
      <c r="B63">
        <v>688.07</v>
      </c>
      <c r="C63" s="5">
        <v>39.479999999999997</v>
      </c>
      <c r="D63" s="5">
        <v>127.3</v>
      </c>
      <c r="E63" s="5">
        <v>24.17</v>
      </c>
      <c r="F63" s="5">
        <v>179.67</v>
      </c>
      <c r="G63" s="5">
        <v>56.4</v>
      </c>
      <c r="I63" s="6" cm="1">
        <f t="array" ref="I63">st60_Temp(A63)</f>
        <v>302</v>
      </c>
      <c r="J63" s="6" cm="1">
        <f t="array" ref="J63">st60_Temp(B63)</f>
        <v>302</v>
      </c>
      <c r="K63" s="6">
        <f t="shared" si="25"/>
        <v>302</v>
      </c>
      <c r="M63">
        <f t="shared" si="26"/>
        <v>3.4765912378989877E-8</v>
      </c>
      <c r="N63">
        <f t="shared" si="27"/>
        <v>6.7788747112338711E-4</v>
      </c>
      <c r="O63">
        <f t="shared" si="28"/>
        <v>3.3104261278312199E-14</v>
      </c>
      <c r="P63">
        <f t="shared" si="29"/>
        <v>5.3141116179570061E-4</v>
      </c>
      <c r="Q63">
        <f t="shared" si="30"/>
        <v>4.0156035706983666E-10</v>
      </c>
      <c r="U63" s="3">
        <f t="shared" si="31"/>
        <v>623</v>
      </c>
      <c r="V63">
        <f>P142</f>
        <v>5.783375854209918E-4</v>
      </c>
    </row>
    <row r="64" spans="1:22" x14ac:dyDescent="0.25">
      <c r="A64">
        <v>663.9</v>
      </c>
      <c r="B64">
        <v>684.85</v>
      </c>
      <c r="C64" s="5">
        <v>40.28</v>
      </c>
      <c r="D64" s="5">
        <v>128.11000000000001</v>
      </c>
      <c r="E64" s="5">
        <v>23.37</v>
      </c>
      <c r="F64" s="5">
        <v>178.87</v>
      </c>
      <c r="G64" s="5">
        <v>57.2</v>
      </c>
      <c r="I64" s="6" cm="1">
        <f t="array" ref="I64">st60_Temp(A64)</f>
        <v>303</v>
      </c>
      <c r="J64" s="6" cm="1">
        <f t="array" ref="J64">st60_Temp(B64)</f>
        <v>302</v>
      </c>
      <c r="K64" s="6">
        <f t="shared" si="25"/>
        <v>302.5</v>
      </c>
      <c r="M64">
        <f t="shared" si="26"/>
        <v>3.5581426285287701E-8</v>
      </c>
      <c r="N64">
        <f t="shared" si="27"/>
        <v>6.8528632875129779E-4</v>
      </c>
      <c r="O64">
        <f t="shared" si="28"/>
        <v>3.2008547210349859E-14</v>
      </c>
      <c r="P64">
        <f t="shared" si="29"/>
        <v>5.2904499644012345E-4</v>
      </c>
      <c r="Q64">
        <f t="shared" si="30"/>
        <v>4.0776635607856812E-10</v>
      </c>
      <c r="U64" s="3">
        <f t="shared" si="31"/>
        <v>673</v>
      </c>
      <c r="V64">
        <f>P165</f>
        <v>5.8610366827684807E-4</v>
      </c>
    </row>
    <row r="65" spans="1:22" x14ac:dyDescent="0.25">
      <c r="A65">
        <v>664.7</v>
      </c>
      <c r="B65">
        <v>682.43</v>
      </c>
      <c r="C65" s="5">
        <v>42.7</v>
      </c>
      <c r="D65" s="5">
        <v>128.91</v>
      </c>
      <c r="E65" s="5">
        <v>21.75</v>
      </c>
      <c r="F65" s="5">
        <v>181.28</v>
      </c>
      <c r="G65" s="5">
        <v>58.01</v>
      </c>
      <c r="I65" s="6" cm="1">
        <f t="array" ref="I65">st60_Temp(A65)</f>
        <v>303</v>
      </c>
      <c r="J65" s="6" cm="1">
        <f t="array" ref="J65">st60_Temp(B65)</f>
        <v>302</v>
      </c>
      <c r="K65" s="6">
        <f t="shared" si="25"/>
        <v>302.5</v>
      </c>
      <c r="M65">
        <f t="shared" si="26"/>
        <v>3.7719138589418695E-8</v>
      </c>
      <c r="N65">
        <f t="shared" si="27"/>
        <v>6.8956569072929348E-4</v>
      </c>
      <c r="O65">
        <f t="shared" si="28"/>
        <v>2.9789726222726114E-14</v>
      </c>
      <c r="P65">
        <f t="shared" si="29"/>
        <v>5.3617306957379988E-4</v>
      </c>
      <c r="Q65">
        <f t="shared" si="30"/>
        <v>4.1354066986219816E-10</v>
      </c>
      <c r="U65" s="3">
        <f t="shared" si="31"/>
        <v>723</v>
      </c>
      <c r="V65">
        <f>P188</f>
        <v>5.9556493595963979E-4</v>
      </c>
    </row>
    <row r="66" spans="1:22" x14ac:dyDescent="0.25">
      <c r="A66">
        <v>660.67</v>
      </c>
      <c r="B66">
        <v>680.82</v>
      </c>
      <c r="C66" s="5">
        <v>40.28</v>
      </c>
      <c r="D66" s="5">
        <v>128.11000000000001</v>
      </c>
      <c r="E66" s="5">
        <v>22.56</v>
      </c>
      <c r="F66" s="5">
        <v>179.67</v>
      </c>
      <c r="G66" s="5">
        <v>58.01</v>
      </c>
      <c r="I66" s="6" cm="1">
        <f t="array" ref="I66">st60_Temp(A66)</f>
        <v>303</v>
      </c>
      <c r="J66" s="6" cm="1">
        <f t="array" ref="J66">st60_Temp(B66)</f>
        <v>302</v>
      </c>
      <c r="K66" s="6">
        <f t="shared" si="25"/>
        <v>302.5</v>
      </c>
      <c r="M66">
        <f t="shared" si="26"/>
        <v>3.5581426285287701E-8</v>
      </c>
      <c r="N66">
        <f t="shared" si="27"/>
        <v>6.8528632875129779E-4</v>
      </c>
      <c r="O66">
        <f t="shared" si="28"/>
        <v>3.0899136716537983E-14</v>
      </c>
      <c r="P66">
        <f t="shared" si="29"/>
        <v>5.3141116179570061E-4</v>
      </c>
      <c r="Q66">
        <f t="shared" si="30"/>
        <v>4.1354066986219816E-10</v>
      </c>
      <c r="U66" s="3">
        <f t="shared" si="31"/>
        <v>773</v>
      </c>
      <c r="V66">
        <f>P211</f>
        <v>5.9168380240052598E-4</v>
      </c>
    </row>
    <row r="67" spans="1:22" x14ac:dyDescent="0.25">
      <c r="A67">
        <v>655.84</v>
      </c>
      <c r="B67">
        <v>679.21</v>
      </c>
      <c r="C67" s="5">
        <v>40.28</v>
      </c>
      <c r="D67" s="5">
        <v>124.88</v>
      </c>
      <c r="E67" s="5">
        <v>23.37</v>
      </c>
      <c r="F67" s="5">
        <v>179.67</v>
      </c>
      <c r="G67" s="5">
        <v>58.82</v>
      </c>
      <c r="I67" s="6" cm="1">
        <f t="array" ref="I67">st60_Temp(A67)</f>
        <v>303</v>
      </c>
      <c r="J67" s="6" cm="1">
        <f t="array" ref="J67">st60_Temp(B67)</f>
        <v>302</v>
      </c>
      <c r="K67" s="6">
        <f t="shared" si="25"/>
        <v>302.5</v>
      </c>
      <c r="M67">
        <f t="shared" si="26"/>
        <v>3.5581426285287701E-8</v>
      </c>
      <c r="N67">
        <f t="shared" si="27"/>
        <v>6.680084047651398E-4</v>
      </c>
      <c r="O67">
        <f t="shared" si="28"/>
        <v>3.2008547210349859E-14</v>
      </c>
      <c r="P67">
        <f t="shared" si="29"/>
        <v>5.3141116179570061E-4</v>
      </c>
      <c r="Q67">
        <f t="shared" si="30"/>
        <v>4.1931498364582825E-10</v>
      </c>
      <c r="U67" t="s">
        <v>30</v>
      </c>
      <c r="V67">
        <f>AVERAGE(V59:V66)</f>
        <v>5.7075711226712504E-4</v>
      </c>
    </row>
    <row r="68" spans="1:22" x14ac:dyDescent="0.25">
      <c r="A68">
        <v>656.65</v>
      </c>
      <c r="B68">
        <v>677.59</v>
      </c>
      <c r="C68" s="5">
        <v>37.869999999999997</v>
      </c>
      <c r="D68" s="5">
        <v>124.88</v>
      </c>
      <c r="E68" s="5">
        <v>23.37</v>
      </c>
      <c r="F68" s="5">
        <v>179.67</v>
      </c>
      <c r="G68" s="5">
        <v>58.01</v>
      </c>
      <c r="I68" s="6" cm="1">
        <f t="array" ref="I68">st60_Temp(A68)</f>
        <v>303</v>
      </c>
      <c r="J68" s="6" cm="1">
        <f t="array" ref="J68">st60_Temp(B68)</f>
        <v>302</v>
      </c>
      <c r="K68" s="6">
        <f t="shared" si="25"/>
        <v>302.5</v>
      </c>
      <c r="M68">
        <f t="shared" si="26"/>
        <v>3.3452547503074605E-8</v>
      </c>
      <c r="N68">
        <f t="shared" si="27"/>
        <v>6.680084047651398E-4</v>
      </c>
      <c r="O68">
        <f t="shared" si="28"/>
        <v>3.2008547210349859E-14</v>
      </c>
      <c r="P68">
        <f t="shared" si="29"/>
        <v>5.3141116179570061E-4</v>
      </c>
      <c r="Q68">
        <f t="shared" si="30"/>
        <v>4.1354066986219816E-10</v>
      </c>
      <c r="U68" t="s">
        <v>31</v>
      </c>
      <c r="V68">
        <f>STDEV(V59:V66)</f>
        <v>2.2271051748393816E-5</v>
      </c>
    </row>
    <row r="69" spans="1:22" x14ac:dyDescent="0.25">
      <c r="A69">
        <v>654.23</v>
      </c>
      <c r="B69">
        <v>674.37</v>
      </c>
      <c r="C69" s="5">
        <v>38.67</v>
      </c>
      <c r="D69" s="5">
        <v>124.88</v>
      </c>
      <c r="E69" s="5">
        <v>21.75</v>
      </c>
      <c r="F69" s="5">
        <v>178.87</v>
      </c>
      <c r="G69" s="5">
        <v>58.01</v>
      </c>
      <c r="I69" s="6" cm="1">
        <f t="array" ref="I69">st60_Temp(A69)</f>
        <v>303</v>
      </c>
      <c r="J69" s="6" cm="1">
        <f t="array" ref="J69">st60_Temp(B69)</f>
        <v>302</v>
      </c>
      <c r="K69" s="6">
        <f t="shared" si="25"/>
        <v>302.5</v>
      </c>
      <c r="M69">
        <f t="shared" si="26"/>
        <v>3.4159229256506344E-8</v>
      </c>
      <c r="N69">
        <f t="shared" si="27"/>
        <v>6.680084047651398E-4</v>
      </c>
      <c r="O69">
        <f t="shared" si="28"/>
        <v>2.9789726222726114E-14</v>
      </c>
      <c r="P69">
        <f t="shared" si="29"/>
        <v>5.2904499644012345E-4</v>
      </c>
      <c r="Q69">
        <f t="shared" si="30"/>
        <v>4.1354066986219816E-10</v>
      </c>
      <c r="U69" s="7" t="s">
        <v>32</v>
      </c>
      <c r="V69" s="7">
        <f>ABS(100*V68/V67)</f>
        <v>3.902019137340254</v>
      </c>
    </row>
    <row r="70" spans="1:22" x14ac:dyDescent="0.25">
      <c r="A70">
        <v>650.20000000000005</v>
      </c>
      <c r="B70">
        <v>672.76</v>
      </c>
      <c r="C70" s="5">
        <v>41.09</v>
      </c>
      <c r="D70" s="5">
        <v>126.49</v>
      </c>
      <c r="E70" s="5">
        <v>22.56</v>
      </c>
      <c r="F70" s="5">
        <v>179.67</v>
      </c>
      <c r="G70" s="5">
        <v>58.01</v>
      </c>
      <c r="I70" s="6" cm="1">
        <f t="array" ref="I70">st60_Temp(A70)</f>
        <v>303</v>
      </c>
      <c r="J70" s="6" cm="1">
        <f t="array" ref="J70">st60_Temp(B70)</f>
        <v>302</v>
      </c>
      <c r="K70" s="6">
        <f t="shared" si="25"/>
        <v>302.5</v>
      </c>
      <c r="M70">
        <f t="shared" si="26"/>
        <v>3.6296941560637332E-8</v>
      </c>
      <c r="N70">
        <f t="shared" si="27"/>
        <v>6.7662062074585626E-4</v>
      </c>
      <c r="O70">
        <f t="shared" si="28"/>
        <v>3.0899136716537983E-14</v>
      </c>
      <c r="P70">
        <f t="shared" si="29"/>
        <v>5.3141116179570061E-4</v>
      </c>
      <c r="Q70">
        <f t="shared" si="30"/>
        <v>4.1354066986219816E-10</v>
      </c>
      <c r="V70">
        <v>4.08</v>
      </c>
    </row>
    <row r="71" spans="1:22" x14ac:dyDescent="0.25">
      <c r="A71">
        <v>650.20000000000005</v>
      </c>
      <c r="B71">
        <v>668.73</v>
      </c>
      <c r="C71" s="5">
        <v>38.67</v>
      </c>
      <c r="D71" s="5">
        <v>125.69</v>
      </c>
      <c r="E71" s="5">
        <v>24.98</v>
      </c>
      <c r="F71" s="5">
        <v>179.67</v>
      </c>
      <c r="G71" s="5">
        <v>53.98</v>
      </c>
      <c r="I71" s="6" cm="1">
        <f t="array" ref="I71">st60_Temp(A71)</f>
        <v>303</v>
      </c>
      <c r="J71" s="6" cm="1">
        <f t="array" ref="J71">st60_Temp(B71)</f>
        <v>302</v>
      </c>
      <c r="K71" s="6">
        <f t="shared" si="25"/>
        <v>302.5</v>
      </c>
      <c r="M71">
        <f t="shared" si="26"/>
        <v>3.4159229256506344E-8</v>
      </c>
      <c r="N71">
        <f t="shared" si="27"/>
        <v>6.7234125876786046E-4</v>
      </c>
      <c r="O71">
        <f t="shared" si="28"/>
        <v>3.4213671772124062E-14</v>
      </c>
      <c r="P71">
        <f t="shared" si="29"/>
        <v>5.3141116179570061E-4</v>
      </c>
      <c r="Q71">
        <f t="shared" si="30"/>
        <v>3.848116765930263E-10</v>
      </c>
    </row>
    <row r="72" spans="1:22" x14ac:dyDescent="0.25">
      <c r="A72">
        <v>649.39</v>
      </c>
      <c r="B72">
        <v>667.93</v>
      </c>
      <c r="C72" s="5">
        <v>38.67</v>
      </c>
      <c r="D72" s="5">
        <v>125.69</v>
      </c>
      <c r="E72" s="5">
        <v>24.17</v>
      </c>
      <c r="F72" s="5">
        <v>178.06</v>
      </c>
      <c r="G72" s="5">
        <v>56.4</v>
      </c>
      <c r="I72" s="6" cm="1">
        <f t="array" ref="I72">st60_Temp(A72)</f>
        <v>303</v>
      </c>
      <c r="J72" s="6" cm="1">
        <f t="array" ref="J72">st60_Temp(B72)</f>
        <v>302</v>
      </c>
      <c r="K72" s="6">
        <f t="shared" si="25"/>
        <v>302.5</v>
      </c>
      <c r="M72">
        <f t="shared" si="26"/>
        <v>3.4159229256506344E-8</v>
      </c>
      <c r="N72">
        <f t="shared" si="27"/>
        <v>6.7234125876786046E-4</v>
      </c>
      <c r="O72">
        <f t="shared" si="28"/>
        <v>3.3104261278312199E-14</v>
      </c>
      <c r="P72">
        <f t="shared" si="29"/>
        <v>5.2664925401760157E-4</v>
      </c>
      <c r="Q72">
        <f t="shared" si="30"/>
        <v>4.0206333011942725E-10</v>
      </c>
    </row>
    <row r="73" spans="1:22" x14ac:dyDescent="0.25">
      <c r="C73" s="11">
        <f>AVERAGE(C52:C72)</f>
        <v>41.166666666666657</v>
      </c>
      <c r="D73" s="11">
        <f t="shared" ref="D73:G73" si="32">AVERAGE(D52:D72)</f>
        <v>128.06666666666666</v>
      </c>
      <c r="E73" s="11">
        <f t="shared" si="32"/>
        <v>23.481904761904765</v>
      </c>
      <c r="F73" s="11">
        <f t="shared" si="32"/>
        <v>180.32333333333335</v>
      </c>
      <c r="G73" s="11">
        <f t="shared" si="32"/>
        <v>57.280476190476193</v>
      </c>
      <c r="H73" s="11">
        <f>H51</f>
        <v>473</v>
      </c>
      <c r="I73" s="11">
        <f>AVERAGE(I52:I72)</f>
        <v>302.28571428571428</v>
      </c>
      <c r="J73" s="11">
        <f t="shared" ref="J73:K73" si="33">AVERAGE(J52:J72)</f>
        <v>301.57142857142856</v>
      </c>
      <c r="K73" s="11">
        <f t="shared" si="33"/>
        <v>301.92857142857144</v>
      </c>
      <c r="M73" s="4">
        <f>AVERAGE(M52:M72)</f>
        <v>3.6281353798747287E-8</v>
      </c>
      <c r="N73" s="4">
        <f t="shared" ref="N73:Q73" si="34">AVERAGE(N52:N72)</f>
        <v>6.8282856760688653E-4</v>
      </c>
      <c r="O73" s="4">
        <f t="shared" si="34"/>
        <v>3.2139125365964542E-14</v>
      </c>
      <c r="P73" s="4">
        <f t="shared" si="34"/>
        <v>5.3234062131143184E-4</v>
      </c>
      <c r="Q73" s="4">
        <f t="shared" si="34"/>
        <v>4.0776121038081499E-10</v>
      </c>
      <c r="R73" s="4" t="s">
        <v>18</v>
      </c>
      <c r="U73" t="s">
        <v>26</v>
      </c>
      <c r="V73" t="s">
        <v>4</v>
      </c>
    </row>
    <row r="74" spans="1:22" x14ac:dyDescent="0.25">
      <c r="C74" s="5"/>
      <c r="D74" s="5"/>
      <c r="E74" s="5"/>
      <c r="F74" s="5"/>
      <c r="G74" s="5"/>
      <c r="I74" s="6"/>
      <c r="J74" s="6"/>
      <c r="K74" s="6"/>
      <c r="M74" s="8">
        <f>STDEV(M52:M72)</f>
        <v>1.6243309526974095E-9</v>
      </c>
      <c r="N74" s="8">
        <f t="shared" ref="N74:Q74" si="35">STDEV(N52:N72)</f>
        <v>1.152947738431806E-5</v>
      </c>
      <c r="O74" s="8">
        <f t="shared" si="35"/>
        <v>1.220083935612994E-15</v>
      </c>
      <c r="P74" s="8">
        <f t="shared" si="35"/>
        <v>3.1530345578762679E-6</v>
      </c>
      <c r="Q74" s="8">
        <f t="shared" si="35"/>
        <v>8.6244711644837832E-12</v>
      </c>
      <c r="R74" s="8" t="s">
        <v>19</v>
      </c>
      <c r="U74" s="3">
        <v>373</v>
      </c>
      <c r="V74">
        <f>Q26</f>
        <v>4.5066364039669835E-10</v>
      </c>
    </row>
    <row r="75" spans="1:22" x14ac:dyDescent="0.25">
      <c r="A75" t="s">
        <v>0</v>
      </c>
      <c r="B75" t="s">
        <v>1</v>
      </c>
      <c r="C75" s="5">
        <v>3.95</v>
      </c>
      <c r="D75" s="5">
        <v>10.95</v>
      </c>
      <c r="E75" s="5" t="s">
        <v>2</v>
      </c>
      <c r="F75" s="5" t="s">
        <v>3</v>
      </c>
      <c r="G75" s="5" t="s">
        <v>4</v>
      </c>
      <c r="H75" s="3">
        <f>250+273</f>
        <v>523</v>
      </c>
      <c r="I75" s="6"/>
      <c r="J75" s="6"/>
      <c r="K75" s="6"/>
      <c r="M75" s="7">
        <f>ABS(100*M74/M73)</f>
        <v>4.4770406355495318</v>
      </c>
      <c r="N75" s="7">
        <f t="shared" ref="N75:Q75" si="36">ABS(100*N74/N73)</f>
        <v>1.6884878476490066</v>
      </c>
      <c r="O75" s="7">
        <f t="shared" si="36"/>
        <v>3.7962574330198411</v>
      </c>
      <c r="P75" s="7">
        <f>ABS(100*P74/P73)</f>
        <v>0.5922964417234784</v>
      </c>
      <c r="Q75" s="7">
        <f t="shared" si="36"/>
        <v>2.1150788610886369</v>
      </c>
      <c r="R75" s="7" t="s">
        <v>20</v>
      </c>
      <c r="U75" s="3">
        <f>U74+50</f>
        <v>423</v>
      </c>
      <c r="V75">
        <f>Q49</f>
        <v>4.1011448304753251E-10</v>
      </c>
    </row>
    <row r="76" spans="1:22" x14ac:dyDescent="0.25">
      <c r="A76">
        <v>663.9</v>
      </c>
      <c r="B76">
        <v>677.59</v>
      </c>
      <c r="C76" s="5">
        <v>58.01</v>
      </c>
      <c r="D76" s="5">
        <v>175.64</v>
      </c>
      <c r="E76" s="5">
        <v>44.31</v>
      </c>
      <c r="F76" s="5">
        <v>257.02</v>
      </c>
      <c r="G76" s="5">
        <v>93.46</v>
      </c>
      <c r="I76" s="6" cm="1">
        <f t="array" ref="I76">st60_Temp(A76)</f>
        <v>303</v>
      </c>
      <c r="J76" s="6" cm="1">
        <f t="array" ref="J76">st60_Temp(B76)</f>
        <v>302</v>
      </c>
      <c r="K76" s="6">
        <f>AVERAGE(I76:J76)</f>
        <v>302.5</v>
      </c>
      <c r="M76">
        <f t="shared" ref="M76:M95" si="37">C76/($H$75^MMpow-$I76^MMpow)</f>
        <v>3.3602500193036115E-8</v>
      </c>
      <c r="N76">
        <f t="shared" ref="N76:N95" si="38">D76/($H$75^MLpow-$I76^MLpow)</f>
        <v>6.7961375612669666E-4</v>
      </c>
      <c r="O76">
        <f t="shared" ref="O76:O95" si="39">E76/($H$75^MWpow-$J76^MWpow)</f>
        <v>3.3393082935063845E-14</v>
      </c>
      <c r="P76">
        <f t="shared" ref="P76:P95" si="40">F76/($H$75^LWpow-$J76^LWpow)</f>
        <v>5.4720761957558937E-4</v>
      </c>
      <c r="Q76">
        <f t="shared" ref="Q76:Q95" si="41">G76/($H$75^Wpow-$K76^Wpow)</f>
        <v>4.1148155071291041E-10</v>
      </c>
      <c r="U76" s="3">
        <f t="shared" ref="U76:U82" si="42">U75+50</f>
        <v>473</v>
      </c>
      <c r="V76">
        <f>Q73</f>
        <v>4.0776121038081499E-10</v>
      </c>
    </row>
    <row r="77" spans="1:22" x14ac:dyDescent="0.25">
      <c r="A77">
        <v>659.87</v>
      </c>
      <c r="B77">
        <v>675.18</v>
      </c>
      <c r="C77" s="5">
        <v>58.82</v>
      </c>
      <c r="D77" s="5">
        <v>175.64</v>
      </c>
      <c r="E77" s="5">
        <v>42.7</v>
      </c>
      <c r="F77" s="5">
        <v>257.02</v>
      </c>
      <c r="G77" s="5">
        <v>90.24</v>
      </c>
      <c r="I77" s="6" cm="1">
        <f t="array" ref="I77">st60_Temp(A77)</f>
        <v>303</v>
      </c>
      <c r="J77" s="6" cm="1">
        <f t="array" ref="J77">st60_Temp(B77)</f>
        <v>302</v>
      </c>
      <c r="K77" s="6">
        <f>AVERAGE(I77:J77)</f>
        <v>302.5</v>
      </c>
      <c r="M77">
        <f t="shared" si="37"/>
        <v>3.4071695593076787E-8</v>
      </c>
      <c r="N77">
        <f t="shared" si="38"/>
        <v>6.7961375612669666E-4</v>
      </c>
      <c r="O77">
        <f t="shared" si="39"/>
        <v>3.2179748168071009E-14</v>
      </c>
      <c r="P77">
        <f t="shared" si="40"/>
        <v>5.4720761957558937E-4</v>
      </c>
      <c r="Q77">
        <f t="shared" si="41"/>
        <v>3.9730467725586386E-10</v>
      </c>
      <c r="U77" s="3">
        <f t="shared" si="42"/>
        <v>523</v>
      </c>
      <c r="V77">
        <f>Q96</f>
        <v>4.0489354300998466E-10</v>
      </c>
    </row>
    <row r="78" spans="1:22" x14ac:dyDescent="0.25">
      <c r="A78">
        <v>657.45</v>
      </c>
      <c r="B78">
        <v>672.76</v>
      </c>
      <c r="C78" s="5">
        <v>58.82</v>
      </c>
      <c r="D78" s="5">
        <v>175.64</v>
      </c>
      <c r="E78" s="5">
        <v>42.7</v>
      </c>
      <c r="F78" s="5">
        <v>257.02</v>
      </c>
      <c r="G78" s="5">
        <v>91.04</v>
      </c>
      <c r="I78" s="6" cm="1">
        <f t="array" ref="I78">st60_Temp(A78)</f>
        <v>303</v>
      </c>
      <c r="J78" s="6" cm="1">
        <f t="array" ref="J78">st60_Temp(B78)</f>
        <v>302</v>
      </c>
      <c r="K78" s="6">
        <f t="shared" ref="K78:K95" si="43">AVERAGE(I78:J78)</f>
        <v>302.5</v>
      </c>
      <c r="M78">
        <f t="shared" si="37"/>
        <v>3.4071695593076787E-8</v>
      </c>
      <c r="N78">
        <f t="shared" si="38"/>
        <v>6.7961375612669666E-4</v>
      </c>
      <c r="O78">
        <f t="shared" si="39"/>
        <v>3.2179748168071009E-14</v>
      </c>
      <c r="P78">
        <f t="shared" si="40"/>
        <v>5.4720761957558937E-4</v>
      </c>
      <c r="Q78">
        <f t="shared" si="41"/>
        <v>4.0082688184146551E-10</v>
      </c>
      <c r="U78" s="3">
        <f t="shared" si="42"/>
        <v>573</v>
      </c>
      <c r="V78">
        <f>Q119</f>
        <v>4.0054345763400501E-10</v>
      </c>
    </row>
    <row r="79" spans="1:22" x14ac:dyDescent="0.25">
      <c r="A79">
        <v>653.41999999999996</v>
      </c>
      <c r="B79">
        <v>668.73</v>
      </c>
      <c r="C79" s="5">
        <v>58.01</v>
      </c>
      <c r="D79" s="5">
        <v>177.25</v>
      </c>
      <c r="E79" s="5">
        <v>43.51</v>
      </c>
      <c r="F79" s="5">
        <v>257.82</v>
      </c>
      <c r="G79" s="5">
        <v>90.24</v>
      </c>
      <c r="I79" s="6" cm="1">
        <f t="array" ref="I79">st60_Temp(A79)</f>
        <v>303</v>
      </c>
      <c r="J79" s="6" cm="1">
        <f t="array" ref="J79">st60_Temp(B79)</f>
        <v>302</v>
      </c>
      <c r="K79" s="6">
        <f t="shared" si="43"/>
        <v>302.5</v>
      </c>
      <c r="M79">
        <f t="shared" si="37"/>
        <v>3.3602500193036115E-8</v>
      </c>
      <c r="N79">
        <f t="shared" si="38"/>
        <v>6.8584341991264513E-4</v>
      </c>
      <c r="O79">
        <f t="shared" si="39"/>
        <v>3.2790183671961813E-14</v>
      </c>
      <c r="P79">
        <f t="shared" si="40"/>
        <v>5.4891085704995119E-4</v>
      </c>
      <c r="Q79">
        <f t="shared" si="41"/>
        <v>3.9730467725586386E-10</v>
      </c>
      <c r="U79" s="3">
        <f t="shared" si="42"/>
        <v>623</v>
      </c>
      <c r="V79">
        <f>Q142</f>
        <v>4.1094122015493371E-10</v>
      </c>
    </row>
    <row r="80" spans="1:22" x14ac:dyDescent="0.25">
      <c r="A80">
        <v>648.59</v>
      </c>
      <c r="B80">
        <v>666.31</v>
      </c>
      <c r="C80" s="5">
        <v>58.82</v>
      </c>
      <c r="D80" s="5">
        <v>174.84</v>
      </c>
      <c r="E80" s="5">
        <v>43.51</v>
      </c>
      <c r="F80" s="5">
        <v>257.02</v>
      </c>
      <c r="G80" s="5">
        <v>91.85</v>
      </c>
      <c r="I80" s="6" cm="1">
        <f t="array" ref="I80">st60_Temp(A80)</f>
        <v>303</v>
      </c>
      <c r="J80" s="6" cm="1">
        <f t="array" ref="J80">st60_Temp(B80)</f>
        <v>303</v>
      </c>
      <c r="K80" s="6">
        <f t="shared" si="43"/>
        <v>303</v>
      </c>
      <c r="M80">
        <f t="shared" si="37"/>
        <v>3.4071695593076787E-8</v>
      </c>
      <c r="N80">
        <f t="shared" si="38"/>
        <v>6.7651827101566648E-4</v>
      </c>
      <c r="O80">
        <f t="shared" si="39"/>
        <v>3.282021933083297E-14</v>
      </c>
      <c r="P80">
        <f t="shared" si="40"/>
        <v>5.489454891514482E-4</v>
      </c>
      <c r="Q80">
        <f t="shared" si="41"/>
        <v>4.0470784371434379E-10</v>
      </c>
      <c r="U80" s="3">
        <f t="shared" si="42"/>
        <v>673</v>
      </c>
      <c r="V80">
        <f>Q165</f>
        <v>4.0649337802926238E-10</v>
      </c>
    </row>
    <row r="81" spans="1:22" x14ac:dyDescent="0.25">
      <c r="A81">
        <v>648.59</v>
      </c>
      <c r="B81">
        <v>664.7</v>
      </c>
      <c r="C81" s="5">
        <v>58.01</v>
      </c>
      <c r="D81" s="5">
        <v>175.64</v>
      </c>
      <c r="E81" s="5">
        <v>43.51</v>
      </c>
      <c r="F81" s="5">
        <v>258.63</v>
      </c>
      <c r="G81" s="5">
        <v>91.04</v>
      </c>
      <c r="I81" s="6" cm="1">
        <f t="array" ref="I81">st60_Temp(A81)</f>
        <v>303</v>
      </c>
      <c r="J81" s="6" cm="1">
        <f t="array" ref="J81">st60_Temp(B81)</f>
        <v>303</v>
      </c>
      <c r="K81" s="6">
        <f t="shared" si="43"/>
        <v>303</v>
      </c>
      <c r="M81">
        <f t="shared" si="37"/>
        <v>3.3602500193036115E-8</v>
      </c>
      <c r="N81">
        <f t="shared" si="38"/>
        <v>6.7961375612669666E-4</v>
      </c>
      <c r="O81">
        <f t="shared" si="39"/>
        <v>3.282021933083297E-14</v>
      </c>
      <c r="P81">
        <f t="shared" si="40"/>
        <v>5.5238414076429481E-4</v>
      </c>
      <c r="Q81">
        <f t="shared" si="41"/>
        <v>4.0113883605611174E-10</v>
      </c>
      <c r="U81" s="3">
        <f t="shared" si="42"/>
        <v>723</v>
      </c>
      <c r="V81">
        <f>Q188</f>
        <v>4.175531711041174E-10</v>
      </c>
    </row>
    <row r="82" spans="1:22" x14ac:dyDescent="0.25">
      <c r="A82">
        <v>645.37</v>
      </c>
      <c r="B82">
        <v>659.87</v>
      </c>
      <c r="C82" s="5">
        <v>53.98</v>
      </c>
      <c r="D82" s="5">
        <v>173.23</v>
      </c>
      <c r="E82" s="5">
        <v>44.31</v>
      </c>
      <c r="F82" s="5">
        <v>256.20999999999998</v>
      </c>
      <c r="G82" s="5">
        <v>91.04</v>
      </c>
      <c r="I82" s="6" cm="1">
        <f t="array" ref="I82">st60_Temp(A82)</f>
        <v>303</v>
      </c>
      <c r="J82" s="6" cm="1">
        <f t="array" ref="J82">st60_Temp(B82)</f>
        <v>303</v>
      </c>
      <c r="K82" s="6">
        <f t="shared" si="43"/>
        <v>303</v>
      </c>
      <c r="M82">
        <f t="shared" si="37"/>
        <v>3.126810826443871E-8</v>
      </c>
      <c r="N82">
        <f t="shared" si="38"/>
        <v>6.7028860722971801E-4</v>
      </c>
      <c r="O82">
        <f t="shared" si="39"/>
        <v>3.3423670846913564E-14</v>
      </c>
      <c r="P82">
        <f t="shared" si="40"/>
        <v>5.4721548430274893E-4</v>
      </c>
      <c r="Q82">
        <f t="shared" si="41"/>
        <v>4.0113883605611174E-10</v>
      </c>
      <c r="U82" s="3">
        <f t="shared" si="42"/>
        <v>773</v>
      </c>
      <c r="V82">
        <f>Q211</f>
        <v>4.0075325433198311E-10</v>
      </c>
    </row>
    <row r="83" spans="1:22" x14ac:dyDescent="0.25">
      <c r="A83">
        <v>641.34</v>
      </c>
      <c r="B83">
        <v>656.65</v>
      </c>
      <c r="C83" s="5">
        <v>57.2</v>
      </c>
      <c r="D83" s="5">
        <v>172.42</v>
      </c>
      <c r="E83" s="5">
        <v>44.31</v>
      </c>
      <c r="F83" s="5">
        <v>257.02</v>
      </c>
      <c r="G83" s="5">
        <v>95.07</v>
      </c>
      <c r="I83" s="6" cm="1">
        <f t="array" ref="I83">st60_Temp(A83)</f>
        <v>304</v>
      </c>
      <c r="J83" s="6" cm="1">
        <f t="array" ref="J83">st60_Temp(B83)</f>
        <v>303</v>
      </c>
      <c r="K83" s="6">
        <f t="shared" si="43"/>
        <v>303.5</v>
      </c>
      <c r="M83">
        <f t="shared" si="37"/>
        <v>3.3202008163277391E-8</v>
      </c>
      <c r="N83">
        <f t="shared" si="38"/>
        <v>6.6935193372594519E-4</v>
      </c>
      <c r="O83">
        <f t="shared" si="39"/>
        <v>3.3423670846913564E-14</v>
      </c>
      <c r="P83">
        <f t="shared" si="40"/>
        <v>5.489454891514482E-4</v>
      </c>
      <c r="Q83">
        <f t="shared" si="41"/>
        <v>4.1922374715138057E-10</v>
      </c>
      <c r="U83" t="s">
        <v>30</v>
      </c>
      <c r="V83">
        <f>AVERAGE(V75:V82)</f>
        <v>4.0738171471157921E-10</v>
      </c>
    </row>
    <row r="84" spans="1:22" x14ac:dyDescent="0.25">
      <c r="A84">
        <v>638.11</v>
      </c>
      <c r="B84">
        <v>654.23</v>
      </c>
      <c r="C84" s="5">
        <v>59.62</v>
      </c>
      <c r="D84" s="5">
        <v>174.03</v>
      </c>
      <c r="E84" s="5">
        <v>44.31</v>
      </c>
      <c r="F84" s="5">
        <v>257.02</v>
      </c>
      <c r="G84" s="5">
        <v>92.66</v>
      </c>
      <c r="I84" s="6" cm="1">
        <f t="array" ref="I84">st60_Temp(A84)</f>
        <v>304</v>
      </c>
      <c r="J84" s="6" cm="1">
        <f t="array" ref="J84">st60_Temp(B84)</f>
        <v>303</v>
      </c>
      <c r="K84" s="6">
        <f t="shared" si="43"/>
        <v>303.5</v>
      </c>
      <c r="M84">
        <f t="shared" si="37"/>
        <v>3.4606708508646812E-8</v>
      </c>
      <c r="N84">
        <f t="shared" si="38"/>
        <v>6.756021170764775E-4</v>
      </c>
      <c r="O84">
        <f t="shared" si="39"/>
        <v>3.3423670846913564E-14</v>
      </c>
      <c r="P84">
        <f t="shared" si="40"/>
        <v>5.489454891514482E-4</v>
      </c>
      <c r="Q84">
        <f t="shared" si="41"/>
        <v>4.085965331970856E-10</v>
      </c>
      <c r="U84" t="s">
        <v>31</v>
      </c>
      <c r="V84">
        <f>STDEV(V75:V82)</f>
        <v>5.624170176608514E-12</v>
      </c>
    </row>
    <row r="85" spans="1:22" x14ac:dyDescent="0.25">
      <c r="A85">
        <v>632.47</v>
      </c>
      <c r="B85">
        <v>652.62</v>
      </c>
      <c r="C85" s="5">
        <v>56.4</v>
      </c>
      <c r="D85" s="5">
        <v>171.61</v>
      </c>
      <c r="E85" s="5">
        <v>42.7</v>
      </c>
      <c r="F85" s="5">
        <v>256.20999999999998</v>
      </c>
      <c r="G85" s="5">
        <v>91.04</v>
      </c>
      <c r="I85" s="6" cm="1">
        <f t="array" ref="I85">st60_Temp(A85)</f>
        <v>304</v>
      </c>
      <c r="J85" s="6" cm="1">
        <f t="array" ref="J85">st60_Temp(B85)</f>
        <v>303</v>
      </c>
      <c r="K85" s="6">
        <f t="shared" si="43"/>
        <v>303.5</v>
      </c>
      <c r="M85">
        <f t="shared" si="37"/>
        <v>3.273764441274204E-8</v>
      </c>
      <c r="N85">
        <f t="shared" si="38"/>
        <v>6.6620743154337931E-4</v>
      </c>
      <c r="O85">
        <f t="shared" si="39"/>
        <v>3.220922467080138E-14</v>
      </c>
      <c r="P85">
        <f t="shared" si="40"/>
        <v>5.4721548430274893E-4</v>
      </c>
      <c r="Q85">
        <f t="shared" si="41"/>
        <v>4.0145292879627319E-10</v>
      </c>
      <c r="U85" s="7" t="s">
        <v>32</v>
      </c>
      <c r="V85" s="7">
        <f>ABS(100*V84/V83)</f>
        <v>1.3805651980699112</v>
      </c>
    </row>
    <row r="86" spans="1:22" x14ac:dyDescent="0.25">
      <c r="A86">
        <v>633.28</v>
      </c>
      <c r="B86">
        <v>648.59</v>
      </c>
      <c r="C86" s="5">
        <v>58.82</v>
      </c>
      <c r="D86" s="5">
        <v>174.03</v>
      </c>
      <c r="E86" s="5">
        <v>43.51</v>
      </c>
      <c r="F86" s="5">
        <v>257.02</v>
      </c>
      <c r="G86" s="5">
        <v>89.43</v>
      </c>
      <c r="I86" s="6" cm="1">
        <f t="array" ref="I86">st60_Temp(A86)</f>
        <v>304</v>
      </c>
      <c r="J86" s="6" cm="1">
        <f t="array" ref="J86">st60_Temp(B86)</f>
        <v>303</v>
      </c>
      <c r="K86" s="6">
        <f t="shared" si="43"/>
        <v>303.5</v>
      </c>
      <c r="M86">
        <f t="shared" si="37"/>
        <v>3.4142344758111468E-8</v>
      </c>
      <c r="N86">
        <f t="shared" si="38"/>
        <v>6.756021170764775E-4</v>
      </c>
      <c r="O86">
        <f t="shared" si="39"/>
        <v>3.282021933083297E-14</v>
      </c>
      <c r="P86">
        <f t="shared" si="40"/>
        <v>5.489454891514482E-4</v>
      </c>
      <c r="Q86">
        <f t="shared" si="41"/>
        <v>3.943534207189226E-10</v>
      </c>
    </row>
    <row r="87" spans="1:22" x14ac:dyDescent="0.25">
      <c r="A87">
        <v>629.25</v>
      </c>
      <c r="B87">
        <v>644.55999999999995</v>
      </c>
      <c r="C87" s="5">
        <v>55.59</v>
      </c>
      <c r="D87" s="5">
        <v>172.42</v>
      </c>
      <c r="E87" s="5">
        <v>42.7</v>
      </c>
      <c r="F87" s="5">
        <v>253.8</v>
      </c>
      <c r="G87" s="5">
        <v>91.85</v>
      </c>
      <c r="I87" s="6" cm="1">
        <f t="array" ref="I87">st60_Temp(A87)</f>
        <v>304</v>
      </c>
      <c r="J87" s="6" cm="1">
        <f t="array" ref="J87">st60_Temp(B87)</f>
        <v>303</v>
      </c>
      <c r="K87" s="6">
        <f t="shared" si="43"/>
        <v>303.5</v>
      </c>
      <c r="M87">
        <f t="shared" si="37"/>
        <v>3.2267476115324998E-8</v>
      </c>
      <c r="N87">
        <f t="shared" si="38"/>
        <v>6.6935193372594519E-4</v>
      </c>
      <c r="O87">
        <f t="shared" si="39"/>
        <v>3.220922467080138E-14</v>
      </c>
      <c r="P87">
        <f t="shared" si="40"/>
        <v>5.4206818592575509E-4</v>
      </c>
      <c r="Q87">
        <f t="shared" si="41"/>
        <v>4.0502473099667937E-10</v>
      </c>
    </row>
    <row r="88" spans="1:22" x14ac:dyDescent="0.25">
      <c r="A88">
        <v>624.41999999999996</v>
      </c>
      <c r="B88">
        <v>642.95000000000005</v>
      </c>
      <c r="C88" s="5">
        <v>56.4</v>
      </c>
      <c r="D88" s="5">
        <v>171.61</v>
      </c>
      <c r="E88" s="5">
        <v>45.92</v>
      </c>
      <c r="F88" s="5">
        <v>257.02</v>
      </c>
      <c r="G88" s="5">
        <v>93.46</v>
      </c>
      <c r="I88" s="6" cm="1">
        <f t="array" ref="I88">st60_Temp(A88)</f>
        <v>304</v>
      </c>
      <c r="J88" s="6" cm="1">
        <f t="array" ref="J88">st60_Temp(B88)</f>
        <v>304</v>
      </c>
      <c r="K88" s="6">
        <f t="shared" si="43"/>
        <v>304</v>
      </c>
      <c r="M88">
        <f t="shared" si="37"/>
        <v>3.273764441274204E-8</v>
      </c>
      <c r="N88">
        <f t="shared" si="38"/>
        <v>6.6620743154337931E-4</v>
      </c>
      <c r="O88">
        <f t="shared" si="39"/>
        <v>3.4670357595733346E-14</v>
      </c>
      <c r="P88">
        <f t="shared" si="40"/>
        <v>5.5070107614260189E-4</v>
      </c>
      <c r="Q88">
        <f t="shared" si="41"/>
        <v>4.1244889161639144E-10</v>
      </c>
    </row>
    <row r="89" spans="1:22" x14ac:dyDescent="0.25">
      <c r="A89">
        <v>623.61</v>
      </c>
      <c r="B89">
        <v>640.53</v>
      </c>
      <c r="C89" s="5">
        <v>54.79</v>
      </c>
      <c r="D89" s="5">
        <v>173.23</v>
      </c>
      <c r="E89" s="5">
        <v>42.7</v>
      </c>
      <c r="F89" s="5">
        <v>256.20999999999998</v>
      </c>
      <c r="G89" s="5">
        <v>91.85</v>
      </c>
      <c r="I89" s="6" cm="1">
        <f t="array" ref="I89">st60_Temp(A89)</f>
        <v>304</v>
      </c>
      <c r="J89" s="6" cm="1">
        <f t="array" ref="J89">st60_Temp(B89)</f>
        <v>304</v>
      </c>
      <c r="K89" s="6">
        <f t="shared" si="43"/>
        <v>304</v>
      </c>
      <c r="M89">
        <f t="shared" si="37"/>
        <v>3.1803112364789654E-8</v>
      </c>
      <c r="N89">
        <f t="shared" si="38"/>
        <v>6.7249643590851108E-4</v>
      </c>
      <c r="O89">
        <f t="shared" si="39"/>
        <v>3.2239204471642291E-14</v>
      </c>
      <c r="P89">
        <f t="shared" si="40"/>
        <v>5.4896553855145918E-4</v>
      </c>
      <c r="Q89">
        <f t="shared" si="41"/>
        <v>4.053437908727322E-10</v>
      </c>
    </row>
    <row r="90" spans="1:22" x14ac:dyDescent="0.25">
      <c r="A90">
        <v>620.39</v>
      </c>
      <c r="B90">
        <v>639.73</v>
      </c>
      <c r="C90" s="5">
        <v>55.59</v>
      </c>
      <c r="D90" s="5">
        <v>171.61</v>
      </c>
      <c r="E90" s="5">
        <v>43.51</v>
      </c>
      <c r="F90" s="5">
        <v>257.02</v>
      </c>
      <c r="G90" s="5">
        <v>91.85</v>
      </c>
      <c r="I90" s="6" cm="1">
        <f t="array" ref="I90">st60_Temp(A90)</f>
        <v>305</v>
      </c>
      <c r="J90" s="6" cm="1">
        <f t="array" ref="J90">st60_Temp(B90)</f>
        <v>304</v>
      </c>
      <c r="K90" s="6">
        <f t="shared" si="43"/>
        <v>304.5</v>
      </c>
      <c r="M90">
        <f t="shared" si="37"/>
        <v>3.2335061191437209E-8</v>
      </c>
      <c r="N90">
        <f t="shared" si="38"/>
        <v>6.6841674080206077E-4</v>
      </c>
      <c r="O90">
        <f t="shared" si="39"/>
        <v>3.2850767835155871E-14</v>
      </c>
      <c r="P90">
        <f t="shared" si="40"/>
        <v>5.5070107614260189E-4</v>
      </c>
      <c r="Q90">
        <f t="shared" si="41"/>
        <v>4.0566503851603848E-10</v>
      </c>
    </row>
    <row r="91" spans="1:22" x14ac:dyDescent="0.25">
      <c r="A91">
        <v>615.54999999999995</v>
      </c>
      <c r="B91">
        <v>637.30999999999995</v>
      </c>
      <c r="C91" s="5">
        <v>55.59</v>
      </c>
      <c r="D91" s="5">
        <v>170.81</v>
      </c>
      <c r="E91" s="5">
        <v>41.9</v>
      </c>
      <c r="F91" s="5">
        <v>256.20999999999998</v>
      </c>
      <c r="G91" s="5">
        <v>93.46</v>
      </c>
      <c r="I91" s="6" cm="1">
        <f t="array" ref="I91">st60_Temp(A91)</f>
        <v>305</v>
      </c>
      <c r="J91" s="6" cm="1">
        <f t="array" ref="J91">st60_Temp(B91)</f>
        <v>304</v>
      </c>
      <c r="K91" s="6">
        <f t="shared" si="43"/>
        <v>304.5</v>
      </c>
      <c r="M91">
        <f t="shared" si="37"/>
        <v>3.2335061191437209E-8</v>
      </c>
      <c r="N91">
        <f t="shared" si="38"/>
        <v>6.653007604242177E-4</v>
      </c>
      <c r="O91">
        <f t="shared" si="39"/>
        <v>3.1635191273110347E-14</v>
      </c>
      <c r="P91">
        <f t="shared" si="40"/>
        <v>5.4896553855145918E-4</v>
      </c>
      <c r="Q91">
        <f t="shared" si="41"/>
        <v>4.1277577027445788E-10</v>
      </c>
    </row>
    <row r="92" spans="1:22" x14ac:dyDescent="0.25">
      <c r="A92">
        <v>614.75</v>
      </c>
      <c r="B92">
        <v>635.70000000000005</v>
      </c>
      <c r="C92" s="5">
        <v>53.18</v>
      </c>
      <c r="D92" s="5">
        <v>170.81</v>
      </c>
      <c r="E92" s="5">
        <v>45.12</v>
      </c>
      <c r="F92" s="5">
        <v>256.20999999999998</v>
      </c>
      <c r="G92" s="5">
        <v>91.04</v>
      </c>
      <c r="I92" s="6" cm="1">
        <f t="array" ref="I92">st60_Temp(A92)</f>
        <v>305</v>
      </c>
      <c r="J92" s="6" cm="1">
        <f t="array" ref="J92">st60_Temp(B92)</f>
        <v>304</v>
      </c>
      <c r="K92" s="6">
        <f t="shared" si="43"/>
        <v>304.5</v>
      </c>
      <c r="M92">
        <f t="shared" si="37"/>
        <v>3.0933235368962597E-8</v>
      </c>
      <c r="N92">
        <f t="shared" si="38"/>
        <v>6.653007604242177E-4</v>
      </c>
      <c r="O92">
        <f t="shared" si="39"/>
        <v>3.4066344397201401E-14</v>
      </c>
      <c r="P92">
        <f t="shared" si="40"/>
        <v>5.4896553855145918E-4</v>
      </c>
      <c r="Q92">
        <f t="shared" si="41"/>
        <v>4.0208758961894557E-10</v>
      </c>
    </row>
    <row r="93" spans="1:22" x14ac:dyDescent="0.25">
      <c r="A93">
        <v>610.72</v>
      </c>
      <c r="B93">
        <v>633.28</v>
      </c>
      <c r="C93" s="5">
        <v>53.18</v>
      </c>
      <c r="D93" s="5">
        <v>169.2</v>
      </c>
      <c r="E93" s="5">
        <v>42.7</v>
      </c>
      <c r="F93" s="5">
        <v>254.6</v>
      </c>
      <c r="G93" s="5">
        <v>93.46</v>
      </c>
      <c r="I93" s="6" cm="1">
        <f t="array" ref="I93">st60_Temp(A93)</f>
        <v>305</v>
      </c>
      <c r="J93" s="6" cm="1">
        <f t="array" ref="J93">st60_Temp(B93)</f>
        <v>304</v>
      </c>
      <c r="K93" s="6">
        <f t="shared" si="43"/>
        <v>304.5</v>
      </c>
      <c r="M93">
        <f t="shared" si="37"/>
        <v>3.0933235368962597E-8</v>
      </c>
      <c r="N93">
        <f t="shared" si="38"/>
        <v>6.5902984991380849E-4</v>
      </c>
      <c r="O93">
        <f t="shared" si="39"/>
        <v>3.2239204471642291E-14</v>
      </c>
      <c r="P93">
        <f t="shared" si="40"/>
        <v>5.4551588975918777E-4</v>
      </c>
      <c r="Q93">
        <f t="shared" si="41"/>
        <v>4.1277577027445788E-10</v>
      </c>
    </row>
    <row r="94" spans="1:22" x14ac:dyDescent="0.25">
      <c r="A94">
        <v>611.53</v>
      </c>
      <c r="B94">
        <v>628.45000000000005</v>
      </c>
      <c r="C94" s="5">
        <v>53.98</v>
      </c>
      <c r="D94" s="5">
        <v>170</v>
      </c>
      <c r="E94" s="5">
        <v>41.9</v>
      </c>
      <c r="F94" s="5">
        <v>254.6</v>
      </c>
      <c r="G94" s="5">
        <v>91.85</v>
      </c>
      <c r="I94" s="6" cm="1">
        <f t="array" ref="I94">st60_Temp(A94)</f>
        <v>305</v>
      </c>
      <c r="J94" s="6" cm="1">
        <f t="array" ref="J94">st60_Temp(B94)</f>
        <v>304</v>
      </c>
      <c r="K94" s="6">
        <f t="shared" si="43"/>
        <v>304.5</v>
      </c>
      <c r="M94">
        <f t="shared" si="37"/>
        <v>3.1398571741568274E-8</v>
      </c>
      <c r="N94">
        <f t="shared" si="38"/>
        <v>6.6214583029165156E-4</v>
      </c>
      <c r="O94">
        <f t="shared" si="39"/>
        <v>3.1635191273110347E-14</v>
      </c>
      <c r="P94">
        <f t="shared" si="40"/>
        <v>5.4551588975918777E-4</v>
      </c>
      <c r="Q94">
        <f t="shared" si="41"/>
        <v>4.0566503851603848E-10</v>
      </c>
    </row>
    <row r="95" spans="1:22" x14ac:dyDescent="0.25">
      <c r="A95">
        <v>604.28</v>
      </c>
      <c r="B95">
        <v>625.22</v>
      </c>
      <c r="C95" s="5">
        <v>55.59</v>
      </c>
      <c r="D95" s="5">
        <v>170</v>
      </c>
      <c r="E95" s="5">
        <v>43.51</v>
      </c>
      <c r="F95" s="5">
        <v>255.41</v>
      </c>
      <c r="G95" s="5">
        <v>90.24</v>
      </c>
      <c r="I95" s="6" cm="1">
        <f t="array" ref="I95">st60_Temp(A95)</f>
        <v>305</v>
      </c>
      <c r="J95" s="6" cm="1">
        <f t="array" ref="J95">st60_Temp(B95)</f>
        <v>304</v>
      </c>
      <c r="K95" s="6">
        <f t="shared" si="43"/>
        <v>304.5</v>
      </c>
      <c r="M95">
        <f t="shared" si="37"/>
        <v>3.2335061191437209E-8</v>
      </c>
      <c r="N95">
        <f t="shared" si="38"/>
        <v>6.6214583029165156E-4</v>
      </c>
      <c r="O95">
        <f t="shared" si="39"/>
        <v>3.2850767835155871E-14</v>
      </c>
      <c r="P95">
        <f t="shared" si="40"/>
        <v>5.4725142735033059E-4</v>
      </c>
      <c r="Q95">
        <f t="shared" si="41"/>
        <v>3.9855430675761909E-10</v>
      </c>
    </row>
    <row r="96" spans="1:22" x14ac:dyDescent="0.25">
      <c r="C96" s="11">
        <f>AVERAGE(C76:C95)</f>
        <v>56.519999999999996</v>
      </c>
      <c r="D96" s="11">
        <f t="shared" ref="D96:G96" si="44">AVERAGE(D76:D95)</f>
        <v>172.983</v>
      </c>
      <c r="E96" s="11">
        <f t="shared" si="44"/>
        <v>43.466999999999999</v>
      </c>
      <c r="F96" s="11">
        <f t="shared" si="44"/>
        <v>256.4545</v>
      </c>
      <c r="G96" s="11">
        <f t="shared" si="44"/>
        <v>91.808499999999981</v>
      </c>
      <c r="H96" s="11">
        <f>H75</f>
        <v>523</v>
      </c>
      <c r="I96" s="11">
        <f>AVERAGE(I76:I95)</f>
        <v>303.95</v>
      </c>
      <c r="J96" s="11">
        <f t="shared" ref="J96:K96" si="45">AVERAGE(J76:J95)</f>
        <v>303.2</v>
      </c>
      <c r="K96" s="11">
        <f t="shared" si="45"/>
        <v>303.57499999999999</v>
      </c>
      <c r="M96" s="4">
        <f>AVERAGE(M76:M95)</f>
        <v>3.2802893020610848E-8</v>
      </c>
      <c r="N96" s="4">
        <f t="shared" ref="N96" si="46">AVERAGE(N76:N95)</f>
        <v>6.7141322477062685E-4</v>
      </c>
      <c r="O96" s="4">
        <f t="shared" ref="O96" si="47">AVERAGE(O76:O95)</f>
        <v>3.2793995598538088E-14</v>
      </c>
      <c r="P96" s="4">
        <f t="shared" ref="P96" si="48">AVERAGE(P76:P95)</f>
        <v>5.4808904712431734E-4</v>
      </c>
      <c r="Q96" s="4">
        <f t="shared" ref="Q96" si="49">AVERAGE(Q76:Q95)</f>
        <v>4.0489354300998466E-10</v>
      </c>
      <c r="R96" s="4" t="s">
        <v>18</v>
      </c>
    </row>
    <row r="97" spans="1:18" x14ac:dyDescent="0.25">
      <c r="C97" s="5"/>
      <c r="D97" s="5"/>
      <c r="E97" s="5"/>
      <c r="F97" s="5"/>
      <c r="G97" s="5"/>
      <c r="I97" s="6"/>
      <c r="J97" s="6"/>
      <c r="K97" s="6"/>
      <c r="M97" s="8">
        <f>STDEV(M76:M95)</f>
        <v>1.152232117050101E-9</v>
      </c>
      <c r="N97" s="8">
        <f t="shared" ref="N97:Q97" si="50">STDEV(N76:N95)</f>
        <v>7.299378394626309E-6</v>
      </c>
      <c r="O97" s="8">
        <f t="shared" si="50"/>
        <v>7.7582767907142281E-16</v>
      </c>
      <c r="P97" s="8">
        <f t="shared" si="50"/>
        <v>2.2011826635824183E-6</v>
      </c>
      <c r="Q97" s="8">
        <f t="shared" si="50"/>
        <v>6.3914511572807759E-12</v>
      </c>
      <c r="R97" s="8" t="s">
        <v>19</v>
      </c>
    </row>
    <row r="98" spans="1:18" x14ac:dyDescent="0.25">
      <c r="A98" t="s">
        <v>0</v>
      </c>
      <c r="B98" t="s">
        <v>1</v>
      </c>
      <c r="C98" s="5">
        <v>3.95</v>
      </c>
      <c r="D98" s="5">
        <v>10.95</v>
      </c>
      <c r="E98" s="5" t="s">
        <v>2</v>
      </c>
      <c r="F98" s="5" t="s">
        <v>3</v>
      </c>
      <c r="G98" s="5" t="s">
        <v>4</v>
      </c>
      <c r="H98" s="3">
        <f>300+273</f>
        <v>573</v>
      </c>
      <c r="I98" s="6"/>
      <c r="J98" s="6"/>
      <c r="K98" s="6"/>
      <c r="M98" s="7">
        <f>ABS(100*M97/M96)</f>
        <v>3.5125929786928425</v>
      </c>
      <c r="N98" s="7">
        <f t="shared" ref="N98" si="51">ABS(100*N97/N96)</f>
        <v>1.0871663120904382</v>
      </c>
      <c r="O98" s="7">
        <f t="shared" ref="O98" si="52">ABS(100*O97/O96)</f>
        <v>2.3657613685415271</v>
      </c>
      <c r="P98" s="7">
        <f t="shared" ref="P98" si="53">ABS(100*P97/P96)</f>
        <v>0.40161040895297201</v>
      </c>
      <c r="Q98" s="7">
        <f t="shared" ref="Q98" si="54">ABS(100*Q97/Q96)</f>
        <v>1.5785510210329936</v>
      </c>
      <c r="R98" s="7" t="s">
        <v>20</v>
      </c>
    </row>
    <row r="99" spans="1:18" x14ac:dyDescent="0.25">
      <c r="A99">
        <v>580.91</v>
      </c>
      <c r="B99">
        <v>606.69000000000005</v>
      </c>
      <c r="C99" s="5">
        <v>72.510000000000005</v>
      </c>
      <c r="D99" s="5">
        <v>217.54</v>
      </c>
      <c r="E99" s="5">
        <v>72.510000000000005</v>
      </c>
      <c r="F99" s="5">
        <v>345.65</v>
      </c>
      <c r="G99" s="5">
        <v>136.97</v>
      </c>
      <c r="I99" s="6" cm="1">
        <f t="array" ref="I99">st60_Temp(A99)</f>
        <v>307</v>
      </c>
      <c r="J99" s="6" cm="1">
        <f t="array" ref="J99">st60_Temp(B99)</f>
        <v>305</v>
      </c>
      <c r="K99" s="6">
        <f t="shared" ref="K99:K118" si="55">AVERAGE(I99:J99)</f>
        <v>306</v>
      </c>
      <c r="M99">
        <f t="shared" ref="M99:M118" si="56">C99/($H$98^MMpow-$I99^MMpow)</f>
        <v>2.946140148159749E-8</v>
      </c>
      <c r="N99">
        <f t="shared" ref="N99:N118" si="57">D99/($H$98^MLpow-$I99^MLpow)</f>
        <v>6.5109964076109504E-4</v>
      </c>
      <c r="O99">
        <f t="shared" ref="O99:O118" si="58">E99/($H$98^MWpow-$J99^MWpow)</f>
        <v>3.2279975996948421E-14</v>
      </c>
      <c r="P99">
        <f t="shared" ref="P99:P118" si="59">F99/($H$98^LWpow-$J99^LWpow)</f>
        <v>5.6474552182888822E-4</v>
      </c>
      <c r="Q99">
        <f t="shared" ref="Q99:Q118" si="60">G99/($H$98^Wpow-$K99^Wpow)</f>
        <v>3.9849821562173659E-10</v>
      </c>
    </row>
    <row r="100" spans="1:18" x14ac:dyDescent="0.25">
      <c r="A100">
        <v>580.1</v>
      </c>
      <c r="B100">
        <v>605.08000000000004</v>
      </c>
      <c r="C100" s="5">
        <v>77.349999999999994</v>
      </c>
      <c r="D100" s="5">
        <v>223.18</v>
      </c>
      <c r="E100" s="5">
        <v>72.510000000000005</v>
      </c>
      <c r="F100" s="5">
        <v>344.03</v>
      </c>
      <c r="G100" s="5">
        <v>137.77000000000001</v>
      </c>
      <c r="I100" s="6" cm="1">
        <f t="array" ref="I100">st60_Temp(A100)</f>
        <v>307</v>
      </c>
      <c r="J100" s="6" cm="1">
        <f t="array" ref="J100">st60_Temp(B100)</f>
        <v>305</v>
      </c>
      <c r="K100" s="6">
        <f t="shared" si="55"/>
        <v>306</v>
      </c>
      <c r="M100">
        <f t="shared" si="56"/>
        <v>3.1427932762399195E-8</v>
      </c>
      <c r="N100">
        <f t="shared" si="57"/>
        <v>6.679802235223922E-4</v>
      </c>
      <c r="O100">
        <f t="shared" si="58"/>
        <v>3.2279975996948421E-14</v>
      </c>
      <c r="P100">
        <f t="shared" si="59"/>
        <v>5.6209866013248201E-4</v>
      </c>
      <c r="Q100">
        <f t="shared" si="60"/>
        <v>4.0082572217424735E-10</v>
      </c>
    </row>
    <row r="101" spans="1:18" x14ac:dyDescent="0.25">
      <c r="A101">
        <v>576.08000000000004</v>
      </c>
      <c r="B101">
        <v>601.04999999999995</v>
      </c>
      <c r="C101" s="5">
        <v>80.569999999999993</v>
      </c>
      <c r="D101" s="5">
        <v>225.6</v>
      </c>
      <c r="E101" s="5">
        <v>73.319999999999993</v>
      </c>
      <c r="F101" s="5">
        <v>343.23</v>
      </c>
      <c r="G101" s="5">
        <v>136.97</v>
      </c>
      <c r="I101" s="6" cm="1">
        <f t="array" ref="I101">st60_Temp(A101)</f>
        <v>307</v>
      </c>
      <c r="J101" s="6" cm="1">
        <f t="array" ref="J101">st60_Temp(B101)</f>
        <v>306</v>
      </c>
      <c r="K101" s="6">
        <f t="shared" si="55"/>
        <v>306.5</v>
      </c>
      <c r="M101">
        <f t="shared" si="56"/>
        <v>3.2736244895494542E-8</v>
      </c>
      <c r="N101">
        <f t="shared" si="57"/>
        <v>6.7522331045188487E-4</v>
      </c>
      <c r="O101">
        <f t="shared" si="58"/>
        <v>3.2659041576219011E-14</v>
      </c>
      <c r="P101">
        <f t="shared" si="59"/>
        <v>5.6217289611838024E-4</v>
      </c>
      <c r="Q101">
        <f t="shared" si="60"/>
        <v>3.9871077312358969E-10</v>
      </c>
    </row>
    <row r="102" spans="1:18" x14ac:dyDescent="0.25">
      <c r="A102">
        <v>573.66</v>
      </c>
      <c r="B102">
        <v>597.02</v>
      </c>
      <c r="C102" s="5">
        <v>81.38</v>
      </c>
      <c r="D102" s="5">
        <v>228.01</v>
      </c>
      <c r="E102" s="5">
        <v>73.319999999999993</v>
      </c>
      <c r="F102" s="5">
        <v>342.42</v>
      </c>
      <c r="G102" s="5">
        <v>138.58000000000001</v>
      </c>
      <c r="I102" s="6" cm="1">
        <f t="array" ref="I102">st60_Temp(A102)</f>
        <v>307</v>
      </c>
      <c r="J102" s="6" cm="1">
        <f t="array" ref="J102">st60_Temp(B102)</f>
        <v>306</v>
      </c>
      <c r="K102" s="6">
        <f t="shared" si="55"/>
        <v>306.5</v>
      </c>
      <c r="M102">
        <f t="shared" si="56"/>
        <v>3.3065354469347725E-8</v>
      </c>
      <c r="N102">
        <f t="shared" si="57"/>
        <v>6.8243646727009872E-4</v>
      </c>
      <c r="O102">
        <f t="shared" si="58"/>
        <v>3.2659041576219011E-14</v>
      </c>
      <c r="P102">
        <f t="shared" si="59"/>
        <v>5.6084620542742696E-4</v>
      </c>
      <c r="Q102">
        <f t="shared" si="60"/>
        <v>4.0339737854615659E-10</v>
      </c>
    </row>
    <row r="103" spans="1:18" x14ac:dyDescent="0.25">
      <c r="A103">
        <v>568.02</v>
      </c>
      <c r="B103">
        <v>591.38</v>
      </c>
      <c r="C103" s="5">
        <v>81.38</v>
      </c>
      <c r="D103" s="5">
        <v>224.79</v>
      </c>
      <c r="E103" s="5">
        <v>71.709999999999994</v>
      </c>
      <c r="F103" s="5">
        <v>340.01</v>
      </c>
      <c r="G103" s="5">
        <v>137.77000000000001</v>
      </c>
      <c r="I103" s="6" cm="1">
        <f t="array" ref="I103">st60_Temp(A103)</f>
        <v>307</v>
      </c>
      <c r="J103" s="6" cm="1">
        <f t="array" ref="J103">st60_Temp(B103)</f>
        <v>306</v>
      </c>
      <c r="K103" s="6">
        <f t="shared" si="55"/>
        <v>306.5</v>
      </c>
      <c r="M103">
        <f t="shared" si="56"/>
        <v>3.3065354469347725E-8</v>
      </c>
      <c r="N103">
        <f t="shared" si="57"/>
        <v>6.7279897143829434E-4</v>
      </c>
      <c r="O103">
        <f t="shared" si="58"/>
        <v>3.1941896773467881E-14</v>
      </c>
      <c r="P103">
        <f t="shared" si="59"/>
        <v>5.5689889114940547E-4</v>
      </c>
      <c r="Q103">
        <f t="shared" si="60"/>
        <v>4.0103952115964779E-10</v>
      </c>
    </row>
    <row r="104" spans="1:18" x14ac:dyDescent="0.25">
      <c r="A104">
        <v>563.99</v>
      </c>
      <c r="B104">
        <v>588.97</v>
      </c>
      <c r="C104" s="5">
        <v>78.959999999999994</v>
      </c>
      <c r="D104" s="5">
        <v>224.79</v>
      </c>
      <c r="E104" s="5">
        <v>74.12</v>
      </c>
      <c r="F104" s="5">
        <v>340.81</v>
      </c>
      <c r="G104" s="5">
        <v>137.77000000000001</v>
      </c>
      <c r="I104" s="6" cm="1">
        <f t="array" ref="I104">st60_Temp(A104)</f>
        <v>307</v>
      </c>
      <c r="J104" s="6" cm="1">
        <f t="array" ref="J104">st60_Temp(B104)</f>
        <v>306</v>
      </c>
      <c r="K104" s="6">
        <f t="shared" si="55"/>
        <v>306.5</v>
      </c>
      <c r="M104">
        <f t="shared" si="56"/>
        <v>3.2082088828946865E-8</v>
      </c>
      <c r="N104">
        <f t="shared" si="57"/>
        <v>6.7279897143829434E-4</v>
      </c>
      <c r="O104">
        <f t="shared" si="58"/>
        <v>3.301538681982206E-14</v>
      </c>
      <c r="P104">
        <f t="shared" si="59"/>
        <v>5.5820920294293963E-4</v>
      </c>
      <c r="Q104">
        <f t="shared" si="60"/>
        <v>4.0103952115964779E-10</v>
      </c>
    </row>
    <row r="105" spans="1:18" x14ac:dyDescent="0.25">
      <c r="A105">
        <v>561.57000000000005</v>
      </c>
      <c r="B105">
        <v>587.36</v>
      </c>
      <c r="C105" s="5">
        <v>80.569999999999993</v>
      </c>
      <c r="D105" s="5">
        <v>225.6</v>
      </c>
      <c r="E105" s="5">
        <v>71.709999999999994</v>
      </c>
      <c r="F105" s="5">
        <v>339.2</v>
      </c>
      <c r="G105" s="5">
        <v>139.38999999999999</v>
      </c>
      <c r="I105" s="6" cm="1">
        <f t="array" ref="I105">st60_Temp(A105)</f>
        <v>308</v>
      </c>
      <c r="J105" s="6" cm="1">
        <f t="array" ref="J105">st60_Temp(B105)</f>
        <v>306</v>
      </c>
      <c r="K105" s="6">
        <f t="shared" si="55"/>
        <v>307</v>
      </c>
      <c r="M105">
        <f t="shared" si="56"/>
        <v>3.2785365984449325E-8</v>
      </c>
      <c r="N105">
        <f t="shared" si="57"/>
        <v>6.7696634186656716E-4</v>
      </c>
      <c r="O105">
        <f t="shared" si="58"/>
        <v>3.1941896773467881E-14</v>
      </c>
      <c r="P105">
        <f t="shared" si="59"/>
        <v>5.5557220045845219E-4</v>
      </c>
      <c r="Q105">
        <f t="shared" si="60"/>
        <v>4.0597291176895736E-10</v>
      </c>
    </row>
    <row r="106" spans="1:18" x14ac:dyDescent="0.25">
      <c r="A106">
        <v>557.54</v>
      </c>
      <c r="B106">
        <v>584.13</v>
      </c>
      <c r="C106" s="5">
        <v>81.38</v>
      </c>
      <c r="D106" s="5">
        <v>223.18</v>
      </c>
      <c r="E106" s="5">
        <v>74.12</v>
      </c>
      <c r="F106" s="5">
        <v>341.62</v>
      </c>
      <c r="G106" s="5">
        <v>136.97</v>
      </c>
      <c r="I106" s="6" cm="1">
        <f t="array" ref="I106">st60_Temp(A106)</f>
        <v>308</v>
      </c>
      <c r="J106" s="6" cm="1">
        <f t="array" ref="J106">st60_Temp(B106)</f>
        <v>306</v>
      </c>
      <c r="K106" s="6">
        <f t="shared" si="55"/>
        <v>307</v>
      </c>
      <c r="M106">
        <f t="shared" si="56"/>
        <v>3.3114969390771823E-8</v>
      </c>
      <c r="N106">
        <f t="shared" si="57"/>
        <v>6.697045575256227E-4</v>
      </c>
      <c r="O106">
        <f t="shared" si="58"/>
        <v>3.301538681982206E-14</v>
      </c>
      <c r="P106">
        <f t="shared" si="59"/>
        <v>5.5953589363389291E-4</v>
      </c>
      <c r="Q106">
        <f t="shared" si="60"/>
        <v>3.9892466981127835E-10</v>
      </c>
    </row>
    <row r="107" spans="1:18" x14ac:dyDescent="0.25">
      <c r="A107">
        <v>550.29</v>
      </c>
      <c r="B107">
        <v>581.72</v>
      </c>
      <c r="C107" s="5">
        <v>81.38</v>
      </c>
      <c r="D107" s="5">
        <v>223.18</v>
      </c>
      <c r="E107" s="5">
        <v>72.510000000000005</v>
      </c>
      <c r="F107" s="5">
        <v>342.42</v>
      </c>
      <c r="G107" s="5">
        <v>135.36000000000001</v>
      </c>
      <c r="I107" s="6" cm="1">
        <f t="array" ref="I107">st60_Temp(A107)</f>
        <v>308</v>
      </c>
      <c r="J107" s="6" cm="1">
        <f t="array" ref="J107">st60_Temp(B107)</f>
        <v>307</v>
      </c>
      <c r="K107" s="6">
        <f t="shared" si="55"/>
        <v>307.5</v>
      </c>
      <c r="M107">
        <f t="shared" si="56"/>
        <v>3.3114969390771823E-8</v>
      </c>
      <c r="N107">
        <f t="shared" si="57"/>
        <v>6.697045575256227E-4</v>
      </c>
      <c r="O107">
        <f t="shared" si="58"/>
        <v>3.2316804070587434E-14</v>
      </c>
      <c r="P107">
        <f t="shared" si="59"/>
        <v>5.6223628467557839E-4</v>
      </c>
      <c r="Q107">
        <f t="shared" si="60"/>
        <v>3.9444826391024196E-10</v>
      </c>
    </row>
    <row r="108" spans="1:18" x14ac:dyDescent="0.25">
      <c r="A108">
        <v>547.88</v>
      </c>
      <c r="B108">
        <v>576.88</v>
      </c>
      <c r="C108" s="5">
        <v>78.150000000000006</v>
      </c>
      <c r="D108" s="5">
        <v>224.79</v>
      </c>
      <c r="E108" s="5">
        <v>72.510000000000005</v>
      </c>
      <c r="F108" s="5">
        <v>341.62</v>
      </c>
      <c r="G108" s="5">
        <v>139.38999999999999</v>
      </c>
      <c r="I108" s="6" cm="1">
        <f t="array" ref="I108">st60_Temp(A108)</f>
        <v>308</v>
      </c>
      <c r="J108" s="6" cm="1">
        <f t="array" ref="J108">st60_Temp(B108)</f>
        <v>307</v>
      </c>
      <c r="K108" s="6">
        <f t="shared" si="55"/>
        <v>307.5</v>
      </c>
      <c r="M108">
        <f t="shared" si="56"/>
        <v>3.1800624943337656E-8</v>
      </c>
      <c r="N108">
        <f t="shared" si="57"/>
        <v>6.7453574462848244E-4</v>
      </c>
      <c r="O108">
        <f t="shared" si="58"/>
        <v>3.2316804070587434E-14</v>
      </c>
      <c r="P108">
        <f t="shared" si="59"/>
        <v>5.6092272522303337E-4</v>
      </c>
      <c r="Q108">
        <f t="shared" si="60"/>
        <v>4.0619195852872793E-10</v>
      </c>
    </row>
    <row r="109" spans="1:18" x14ac:dyDescent="0.25">
      <c r="A109">
        <v>545.46</v>
      </c>
      <c r="B109">
        <v>574.46</v>
      </c>
      <c r="C109" s="5">
        <v>80.569999999999993</v>
      </c>
      <c r="D109" s="5">
        <v>224.79</v>
      </c>
      <c r="E109" s="5">
        <v>74.12</v>
      </c>
      <c r="F109" s="5">
        <v>342.42</v>
      </c>
      <c r="G109" s="5">
        <v>136.16</v>
      </c>
      <c r="I109" s="6" cm="1">
        <f t="array" ref="I109">st60_Temp(A109)</f>
        <v>308</v>
      </c>
      <c r="J109" s="6" cm="1">
        <f t="array" ref="J109">st60_Temp(B109)</f>
        <v>307</v>
      </c>
      <c r="K109" s="6">
        <f t="shared" si="55"/>
        <v>307.5</v>
      </c>
      <c r="M109">
        <f t="shared" si="56"/>
        <v>3.2785365984449325E-8</v>
      </c>
      <c r="N109">
        <f t="shared" si="57"/>
        <v>6.7453574462848244E-4</v>
      </c>
      <c r="O109">
        <f t="shared" si="58"/>
        <v>3.3034361022092684E-14</v>
      </c>
      <c r="P109">
        <f t="shared" si="59"/>
        <v>5.6223628467557839E-4</v>
      </c>
      <c r="Q109">
        <f t="shared" si="60"/>
        <v>3.9677951842507782E-10</v>
      </c>
    </row>
    <row r="110" spans="1:18" x14ac:dyDescent="0.25">
      <c r="A110">
        <v>545.46</v>
      </c>
      <c r="B110">
        <v>574.46</v>
      </c>
      <c r="C110" s="5">
        <v>78.959999999999994</v>
      </c>
      <c r="D110" s="5">
        <v>219.96</v>
      </c>
      <c r="E110" s="5">
        <v>74.12</v>
      </c>
      <c r="F110" s="5">
        <v>342.42</v>
      </c>
      <c r="G110" s="5">
        <v>137.77000000000001</v>
      </c>
      <c r="I110" s="6" cm="1">
        <f t="array" ref="I110">st60_Temp(A110)</f>
        <v>308</v>
      </c>
      <c r="J110" s="6" cm="1">
        <f t="array" ref="J110">st60_Temp(B110)</f>
        <v>307</v>
      </c>
      <c r="K110" s="6">
        <f t="shared" si="55"/>
        <v>307.5</v>
      </c>
      <c r="M110">
        <f t="shared" si="56"/>
        <v>3.2130228349660154E-8</v>
      </c>
      <c r="N110">
        <f t="shared" si="57"/>
        <v>6.6004218331990299E-4</v>
      </c>
      <c r="O110">
        <f t="shared" si="58"/>
        <v>3.3034361022092684E-14</v>
      </c>
      <c r="P110">
        <f t="shared" si="59"/>
        <v>5.6223628467557839E-4</v>
      </c>
      <c r="Q110">
        <f t="shared" si="60"/>
        <v>4.0147116813618522E-10</v>
      </c>
    </row>
    <row r="111" spans="1:18" x14ac:dyDescent="0.25">
      <c r="A111">
        <v>539.01</v>
      </c>
      <c r="B111">
        <v>568.82000000000005</v>
      </c>
      <c r="C111" s="5">
        <v>75.739999999999995</v>
      </c>
      <c r="D111" s="5">
        <v>219.96</v>
      </c>
      <c r="E111" s="5">
        <v>74.12</v>
      </c>
      <c r="F111" s="5">
        <v>340.81</v>
      </c>
      <c r="G111" s="5">
        <v>136.16</v>
      </c>
      <c r="I111" s="6" cm="1">
        <f t="array" ref="I111">st60_Temp(A111)</f>
        <v>309</v>
      </c>
      <c r="J111" s="6" cm="1">
        <f t="array" ref="J111">st60_Temp(B111)</f>
        <v>307</v>
      </c>
      <c r="K111" s="6">
        <f t="shared" si="55"/>
        <v>308</v>
      </c>
      <c r="M111">
        <f t="shared" si="56"/>
        <v>3.0866634844005079E-8</v>
      </c>
      <c r="N111">
        <f t="shared" si="57"/>
        <v>6.6175630632601349E-4</v>
      </c>
      <c r="O111">
        <f t="shared" si="58"/>
        <v>3.3034361022092684E-14</v>
      </c>
      <c r="P111">
        <f t="shared" si="59"/>
        <v>5.5959274627733152E-4</v>
      </c>
      <c r="Q111">
        <f t="shared" si="60"/>
        <v>3.9699483644830327E-10</v>
      </c>
    </row>
    <row r="112" spans="1:18" x14ac:dyDescent="0.25">
      <c r="A112">
        <v>534.17999999999995</v>
      </c>
      <c r="B112">
        <v>566.41</v>
      </c>
      <c r="C112" s="5">
        <v>78.150000000000006</v>
      </c>
      <c r="D112" s="5">
        <v>220.76</v>
      </c>
      <c r="E112" s="5">
        <v>74.12</v>
      </c>
      <c r="F112" s="5">
        <v>339.2</v>
      </c>
      <c r="G112" s="5">
        <v>136.16</v>
      </c>
      <c r="I112" s="6" cm="1">
        <f t="array" ref="I112">st60_Temp(A112)</f>
        <v>309</v>
      </c>
      <c r="J112" s="6" cm="1">
        <f t="array" ref="J112">st60_Temp(B112)</f>
        <v>307</v>
      </c>
      <c r="K112" s="6">
        <f t="shared" si="55"/>
        <v>308</v>
      </c>
      <c r="M112">
        <f t="shared" si="56"/>
        <v>3.1848792092144138E-8</v>
      </c>
      <c r="N112">
        <f t="shared" si="57"/>
        <v>6.6416313049886665E-4</v>
      </c>
      <c r="O112">
        <f t="shared" si="58"/>
        <v>3.3034361022092684E-14</v>
      </c>
      <c r="P112">
        <f t="shared" si="59"/>
        <v>5.5694920787908466E-4</v>
      </c>
      <c r="Q112">
        <f t="shared" si="60"/>
        <v>3.9699483644830327E-10</v>
      </c>
    </row>
    <row r="113" spans="1:18" x14ac:dyDescent="0.25">
      <c r="A113">
        <v>534.17999999999995</v>
      </c>
      <c r="B113">
        <v>564.79999999999995</v>
      </c>
      <c r="C113" s="5">
        <v>75.739999999999995</v>
      </c>
      <c r="D113" s="5">
        <v>217.54</v>
      </c>
      <c r="E113" s="5">
        <v>74.930000000000007</v>
      </c>
      <c r="F113" s="5">
        <v>340.81</v>
      </c>
      <c r="G113" s="5">
        <v>139.38999999999999</v>
      </c>
      <c r="I113" s="6" cm="1">
        <f t="array" ref="I113">st60_Temp(A113)</f>
        <v>309</v>
      </c>
      <c r="J113" s="6" cm="1">
        <f t="array" ref="J113">st60_Temp(B113)</f>
        <v>307</v>
      </c>
      <c r="K113" s="6">
        <f t="shared" si="55"/>
        <v>308</v>
      </c>
      <c r="M113">
        <f t="shared" si="56"/>
        <v>3.0866634844005079E-8</v>
      </c>
      <c r="N113">
        <f t="shared" si="57"/>
        <v>6.5447566320313223E-4</v>
      </c>
      <c r="O113">
        <f t="shared" si="58"/>
        <v>3.3395367935582902E-14</v>
      </c>
      <c r="P113">
        <f t="shared" si="59"/>
        <v>5.5959274627733152E-4</v>
      </c>
      <c r="Q113">
        <f t="shared" si="60"/>
        <v>4.0641238434583571E-10</v>
      </c>
    </row>
    <row r="114" spans="1:18" x14ac:dyDescent="0.25">
      <c r="A114">
        <v>530.15</v>
      </c>
      <c r="B114">
        <v>562.38</v>
      </c>
      <c r="C114" s="5">
        <v>78.959999999999994</v>
      </c>
      <c r="D114" s="5">
        <v>218.34</v>
      </c>
      <c r="E114" s="5">
        <v>74.12</v>
      </c>
      <c r="F114" s="5">
        <v>340.01</v>
      </c>
      <c r="G114" s="5">
        <v>137.77000000000001</v>
      </c>
      <c r="I114" s="6" cm="1">
        <f t="array" ref="I114">st60_Temp(A114)</f>
        <v>309</v>
      </c>
      <c r="J114" s="6" cm="1">
        <f t="array" ref="J114">st60_Temp(B114)</f>
        <v>308</v>
      </c>
      <c r="K114" s="6">
        <f t="shared" si="55"/>
        <v>308.5</v>
      </c>
      <c r="M114">
        <f t="shared" si="56"/>
        <v>3.2178894735709544E-8</v>
      </c>
      <c r="N114">
        <f t="shared" si="57"/>
        <v>6.5688248737598551E-4</v>
      </c>
      <c r="O114">
        <f t="shared" si="58"/>
        <v>3.3053642140141003E-14</v>
      </c>
      <c r="P114">
        <f t="shared" si="59"/>
        <v>5.5967153867005201E-4</v>
      </c>
      <c r="Q114">
        <f t="shared" si="60"/>
        <v>4.0190826728904444E-10</v>
      </c>
    </row>
    <row r="115" spans="1:18" x14ac:dyDescent="0.25">
      <c r="A115">
        <v>528.54</v>
      </c>
      <c r="B115">
        <v>558.35</v>
      </c>
      <c r="C115" s="5">
        <v>78.959999999999994</v>
      </c>
      <c r="D115" s="5">
        <v>223.18</v>
      </c>
      <c r="E115" s="5">
        <v>74.12</v>
      </c>
      <c r="F115" s="5">
        <v>340.01</v>
      </c>
      <c r="G115" s="5">
        <v>138.58000000000001</v>
      </c>
      <c r="I115" s="6" cm="1">
        <f t="array" ref="I115">st60_Temp(A115)</f>
        <v>309</v>
      </c>
      <c r="J115" s="6" cm="1">
        <f t="array" ref="J115">st60_Temp(B115)</f>
        <v>308</v>
      </c>
      <c r="K115" s="6">
        <f t="shared" si="55"/>
        <v>308.5</v>
      </c>
      <c r="M115">
        <f t="shared" si="56"/>
        <v>3.2178894735709544E-8</v>
      </c>
      <c r="N115">
        <f t="shared" si="57"/>
        <v>6.7144377362174791E-4</v>
      </c>
      <c r="O115">
        <f t="shared" si="58"/>
        <v>3.3053642140141003E-14</v>
      </c>
      <c r="P115">
        <f t="shared" si="59"/>
        <v>5.5967153867005201E-4</v>
      </c>
      <c r="Q115">
        <f t="shared" si="60"/>
        <v>4.0427123235040847E-10</v>
      </c>
    </row>
    <row r="116" spans="1:18" x14ac:dyDescent="0.25">
      <c r="A116">
        <v>524.51</v>
      </c>
      <c r="B116">
        <v>555.92999999999995</v>
      </c>
      <c r="C116" s="5">
        <v>75.739999999999995</v>
      </c>
      <c r="D116" s="5">
        <v>218.34</v>
      </c>
      <c r="E116" s="5">
        <v>74.12</v>
      </c>
      <c r="F116" s="5">
        <v>336.78</v>
      </c>
      <c r="G116" s="5">
        <v>136.16</v>
      </c>
      <c r="I116" s="6" cm="1">
        <f t="array" ref="I116">st60_Temp(A116)</f>
        <v>310</v>
      </c>
      <c r="J116" s="6" cm="1">
        <f t="array" ref="J116">st60_Temp(B116)</f>
        <v>308</v>
      </c>
      <c r="K116" s="6">
        <f t="shared" si="55"/>
        <v>309</v>
      </c>
      <c r="M116">
        <f t="shared" si="56"/>
        <v>3.0913827655456166E-8</v>
      </c>
      <c r="N116">
        <f t="shared" si="57"/>
        <v>6.5859870541481254E-4</v>
      </c>
      <c r="O116">
        <f t="shared" si="58"/>
        <v>3.3053642140141003E-14</v>
      </c>
      <c r="P116">
        <f t="shared" si="59"/>
        <v>5.5435481542689946E-4</v>
      </c>
      <c r="Q116">
        <f t="shared" si="60"/>
        <v>3.9742954586212215E-10</v>
      </c>
    </row>
    <row r="117" spans="1:18" x14ac:dyDescent="0.25">
      <c r="A117">
        <v>521.29</v>
      </c>
      <c r="B117">
        <v>555.13</v>
      </c>
      <c r="C117" s="5">
        <v>73.319999999999993</v>
      </c>
      <c r="D117" s="5">
        <v>215.93</v>
      </c>
      <c r="E117" s="5">
        <v>73.319999999999993</v>
      </c>
      <c r="F117" s="5">
        <v>339.2</v>
      </c>
      <c r="G117" s="5">
        <v>137.77000000000001</v>
      </c>
      <c r="I117" s="6" cm="1">
        <f t="array" ref="I117">st60_Temp(A117)</f>
        <v>310</v>
      </c>
      <c r="J117" s="6" cm="1">
        <f t="array" ref="J117">st60_Temp(B117)</f>
        <v>308</v>
      </c>
      <c r="K117" s="6">
        <f t="shared" si="55"/>
        <v>309</v>
      </c>
      <c r="M117">
        <f t="shared" si="56"/>
        <v>2.9926087189042068E-8</v>
      </c>
      <c r="N117">
        <f t="shared" si="57"/>
        <v>6.513292042695818E-4</v>
      </c>
      <c r="O117">
        <f t="shared" si="58"/>
        <v>3.2696883995077415E-14</v>
      </c>
      <c r="P117">
        <f t="shared" si="59"/>
        <v>5.5833824274839454E-4</v>
      </c>
      <c r="Q117">
        <f t="shared" si="60"/>
        <v>4.0212888170846485E-10</v>
      </c>
    </row>
    <row r="118" spans="1:18" x14ac:dyDescent="0.25">
      <c r="A118">
        <v>518.07000000000005</v>
      </c>
      <c r="B118">
        <v>551.9</v>
      </c>
      <c r="C118" s="5">
        <v>73.319999999999993</v>
      </c>
      <c r="D118" s="5">
        <v>212.7</v>
      </c>
      <c r="E118" s="5">
        <v>74.12</v>
      </c>
      <c r="F118" s="5">
        <v>338.39</v>
      </c>
      <c r="G118" s="5">
        <v>136.16</v>
      </c>
      <c r="I118" s="6" cm="1">
        <f t="array" ref="I118">st60_Temp(A118)</f>
        <v>310</v>
      </c>
      <c r="J118" s="6" cm="1">
        <f t="array" ref="J118">st60_Temp(B118)</f>
        <v>308</v>
      </c>
      <c r="K118" s="6">
        <f t="shared" si="55"/>
        <v>309</v>
      </c>
      <c r="M118">
        <f t="shared" si="56"/>
        <v>2.9926087189042068E-8</v>
      </c>
      <c r="N118">
        <f t="shared" si="57"/>
        <v>6.4158626290066237E-4</v>
      </c>
      <c r="O118">
        <f t="shared" si="58"/>
        <v>3.3053642140141003E-14</v>
      </c>
      <c r="P118">
        <f t="shared" si="59"/>
        <v>5.5700494682673707E-4</v>
      </c>
      <c r="Q118">
        <f t="shared" si="60"/>
        <v>3.9742954586212215E-10</v>
      </c>
    </row>
    <row r="119" spans="1:18" x14ac:dyDescent="0.25">
      <c r="C119" s="11">
        <f>AVERAGE(C99:C118)</f>
        <v>78.154500000000013</v>
      </c>
      <c r="D119" s="11">
        <f t="shared" ref="D119:G119" si="61">AVERAGE(D99:D118)</f>
        <v>221.608</v>
      </c>
      <c r="E119" s="11">
        <f t="shared" si="61"/>
        <v>73.477499999999992</v>
      </c>
      <c r="F119" s="11">
        <f t="shared" si="61"/>
        <v>341.053</v>
      </c>
      <c r="G119" s="11">
        <f t="shared" si="61"/>
        <v>137.45099999999999</v>
      </c>
      <c r="H119" s="11">
        <f>H98</f>
        <v>573</v>
      </c>
      <c r="I119" s="11">
        <f>AVERAGE(I99:I118)</f>
        <v>308.25</v>
      </c>
      <c r="J119" s="11">
        <f t="shared" ref="J119:K119" si="62">AVERAGE(J99:J118)</f>
        <v>306.75</v>
      </c>
      <c r="K119" s="11">
        <f t="shared" si="62"/>
        <v>307.5</v>
      </c>
      <c r="M119" s="4">
        <f>AVERAGE(M99:M118)</f>
        <v>3.1813787711784369E-8</v>
      </c>
      <c r="N119" s="4">
        <f t="shared" ref="N119" si="63">AVERAGE(N99:N118)</f>
        <v>6.6540311239937731E-4</v>
      </c>
      <c r="O119" s="4">
        <f t="shared" ref="O119" si="64">AVERAGE(O99:O118)</f>
        <v>3.2743523752684228E-14</v>
      </c>
      <c r="P119" s="4">
        <f t="shared" ref="P119" si="65">AVERAGE(P99:P118)</f>
        <v>5.5964434168587587E-4</v>
      </c>
      <c r="Q119" s="4">
        <f t="shared" ref="Q119" si="66">AVERAGE(Q99:Q118)</f>
        <v>4.0054345763400501E-10</v>
      </c>
      <c r="R119" s="4" t="s">
        <v>18</v>
      </c>
    </row>
    <row r="120" spans="1:18" x14ac:dyDescent="0.25">
      <c r="C120" s="5"/>
      <c r="D120" s="5"/>
      <c r="E120" s="5"/>
      <c r="F120" s="5"/>
      <c r="G120" s="5"/>
      <c r="I120" s="6"/>
      <c r="J120" s="6"/>
      <c r="K120" s="6"/>
      <c r="M120" s="8">
        <f>STDEV(M99:M118)</f>
        <v>1.1496343566087025E-9</v>
      </c>
      <c r="N120" s="8">
        <f t="shared" ref="N120:Q120" si="67">STDEV(N99:N118)</f>
        <v>1.058403979891891E-5</v>
      </c>
      <c r="O120" s="8">
        <f t="shared" si="67"/>
        <v>4.2248342279202939E-16</v>
      </c>
      <c r="P120" s="8">
        <f t="shared" si="67"/>
        <v>2.6336457240041525E-6</v>
      </c>
      <c r="Q120" s="8">
        <f t="shared" si="67"/>
        <v>3.4772790421423898E-12</v>
      </c>
      <c r="R120" s="8" t="s">
        <v>19</v>
      </c>
    </row>
    <row r="121" spans="1:18" x14ac:dyDescent="0.25">
      <c r="A121" t="s">
        <v>0</v>
      </c>
      <c r="B121" t="s">
        <v>1</v>
      </c>
      <c r="C121" s="5">
        <v>3.95</v>
      </c>
      <c r="D121" s="5">
        <v>10.95</v>
      </c>
      <c r="E121" s="5" t="s">
        <v>2</v>
      </c>
      <c r="F121" s="5" t="s">
        <v>3</v>
      </c>
      <c r="G121" s="5" t="s">
        <v>4</v>
      </c>
      <c r="H121" s="3">
        <f>273+350</f>
        <v>623</v>
      </c>
      <c r="I121" s="6"/>
      <c r="J121" s="6"/>
      <c r="K121" s="6"/>
      <c r="M121" s="7">
        <f>ABS(100*M120/M119)</f>
        <v>3.6136355941762268</v>
      </c>
      <c r="N121" s="7">
        <f t="shared" ref="N121" si="68">ABS(100*N120/N119)</f>
        <v>1.5906207232415728</v>
      </c>
      <c r="O121" s="7">
        <f t="shared" ref="O121" si="69">ABS(100*O120/O119)</f>
        <v>1.2902808689226533</v>
      </c>
      <c r="P121" s="7">
        <f t="shared" ref="P121" si="70">ABS(100*P120/P119)</f>
        <v>0.47059275468961997</v>
      </c>
      <c r="Q121" s="7">
        <f t="shared" ref="Q121" si="71">ABS(100*Q120/Q119)</f>
        <v>0.86814026689701662</v>
      </c>
      <c r="R121" s="7" t="s">
        <v>20</v>
      </c>
    </row>
    <row r="122" spans="1:18" x14ac:dyDescent="0.25">
      <c r="A122">
        <v>466.5</v>
      </c>
      <c r="B122">
        <v>485.03</v>
      </c>
      <c r="C122" s="5">
        <v>111.19</v>
      </c>
      <c r="D122" s="5">
        <v>288.44</v>
      </c>
      <c r="E122" s="5">
        <v>123.27</v>
      </c>
      <c r="F122" s="5">
        <v>440.72</v>
      </c>
      <c r="G122" s="5">
        <v>202.23</v>
      </c>
      <c r="I122" s="6" cm="1">
        <f t="array" ref="I122">st60_Temp(A122)</f>
        <v>313</v>
      </c>
      <c r="J122" s="6" cm="1">
        <f t="array" ref="J122">st60_Temp(B122)</f>
        <v>312</v>
      </c>
      <c r="K122" s="6">
        <f t="shared" ref="K122:K141" si="72">AVERAGE(I122:J122)</f>
        <v>312.5</v>
      </c>
      <c r="M122">
        <f t="shared" ref="M122:M141" si="73">C122/($H$121^MMpow-$I122^MMpow)</f>
        <v>3.3048939336298091E-8</v>
      </c>
      <c r="N122">
        <f t="shared" ref="N122:N141" si="74">D122/($H$121^MLpow-$I122^MLpow)</f>
        <v>6.940145181608872E-4</v>
      </c>
      <c r="O122">
        <f t="shared" ref="O122:O141" si="75">E122/($H$121^MWpow-$J122^MWpow)</f>
        <v>3.4132378016598873E-14</v>
      </c>
      <c r="P122">
        <f t="shared" ref="P122:P141" si="76">F122/($H$121^LWpow-$J122^LWpow)</f>
        <v>5.7710881360057949E-4</v>
      </c>
      <c r="Q122">
        <f t="shared" ref="Q122:Q141" si="77">G122/($H$121^Wpow-$K122^Wpow)</f>
        <v>4.0694454060318445E-10</v>
      </c>
    </row>
    <row r="123" spans="1:18" x14ac:dyDescent="0.25">
      <c r="A123">
        <v>462.47</v>
      </c>
      <c r="B123">
        <v>482.61</v>
      </c>
      <c r="C123" s="5">
        <v>111.19</v>
      </c>
      <c r="D123" s="5">
        <v>283.61</v>
      </c>
      <c r="E123" s="5">
        <v>123.27</v>
      </c>
      <c r="F123" s="5">
        <v>442.33</v>
      </c>
      <c r="G123" s="5">
        <v>204.65</v>
      </c>
      <c r="I123" s="6" cm="1">
        <f t="array" ref="I123">st60_Temp(A123)</f>
        <v>313</v>
      </c>
      <c r="J123" s="6" cm="1">
        <f t="array" ref="J123">st60_Temp(B123)</f>
        <v>312</v>
      </c>
      <c r="K123" s="6">
        <f t="shared" si="72"/>
        <v>312.5</v>
      </c>
      <c r="M123">
        <f t="shared" si="73"/>
        <v>3.3048939336298091E-8</v>
      </c>
      <c r="N123">
        <f t="shared" si="74"/>
        <v>6.8239307133410496E-4</v>
      </c>
      <c r="O123">
        <f t="shared" si="75"/>
        <v>3.4132378016598873E-14</v>
      </c>
      <c r="P123">
        <f t="shared" si="76"/>
        <v>5.7921705736055612E-4</v>
      </c>
      <c r="Q123">
        <f t="shared" si="77"/>
        <v>4.1181427203897399E-10</v>
      </c>
    </row>
    <row r="124" spans="1:18" x14ac:dyDescent="0.25">
      <c r="A124">
        <v>458.44</v>
      </c>
      <c r="B124">
        <v>480.2</v>
      </c>
      <c r="C124" s="5">
        <v>108.77</v>
      </c>
      <c r="D124" s="5">
        <v>284.41000000000003</v>
      </c>
      <c r="E124" s="5">
        <v>122.47</v>
      </c>
      <c r="F124" s="5">
        <v>442.33</v>
      </c>
      <c r="G124" s="5">
        <v>205.45</v>
      </c>
      <c r="I124" s="6" cm="1">
        <f t="array" ref="I124">st60_Temp(A124)</f>
        <v>314</v>
      </c>
      <c r="J124" s="6" cm="1">
        <f t="array" ref="J124">st60_Temp(B124)</f>
        <v>312</v>
      </c>
      <c r="K124" s="6">
        <f t="shared" si="72"/>
        <v>313</v>
      </c>
      <c r="M124">
        <f t="shared" si="73"/>
        <v>3.236682100867013E-8</v>
      </c>
      <c r="N124">
        <f t="shared" si="74"/>
        <v>6.8576660150561884E-4</v>
      </c>
      <c r="O124">
        <f t="shared" si="75"/>
        <v>3.3910865057944869E-14</v>
      </c>
      <c r="P124">
        <f t="shared" si="76"/>
        <v>5.7921705736055612E-4</v>
      </c>
      <c r="Q124">
        <f t="shared" si="77"/>
        <v>4.1358718431650483E-10</v>
      </c>
    </row>
    <row r="125" spans="1:18" x14ac:dyDescent="0.25">
      <c r="A125">
        <v>454.41</v>
      </c>
      <c r="B125">
        <v>472.95</v>
      </c>
      <c r="C125" s="5">
        <v>107.96</v>
      </c>
      <c r="D125" s="5">
        <v>284.41000000000003</v>
      </c>
      <c r="E125" s="5">
        <v>121.66</v>
      </c>
      <c r="F125" s="5">
        <v>440.72</v>
      </c>
      <c r="G125" s="5">
        <v>203.84</v>
      </c>
      <c r="I125" s="6" cm="1">
        <f t="array" ref="I125">st60_Temp(A125)</f>
        <v>314</v>
      </c>
      <c r="J125" s="6" cm="1">
        <f t="array" ref="J125">st60_Temp(B125)</f>
        <v>313</v>
      </c>
      <c r="K125" s="6">
        <f t="shared" si="72"/>
        <v>313.5</v>
      </c>
      <c r="M125">
        <f t="shared" si="73"/>
        <v>3.2125788324869241E-8</v>
      </c>
      <c r="N125">
        <f t="shared" si="74"/>
        <v>6.8576660150561884E-4</v>
      </c>
      <c r="O125">
        <f t="shared" si="75"/>
        <v>3.3699730426453127E-14</v>
      </c>
      <c r="P125">
        <f t="shared" si="76"/>
        <v>5.7827752979807811E-4</v>
      </c>
      <c r="Q125">
        <f t="shared" si="77"/>
        <v>4.1050888847614097E-10</v>
      </c>
    </row>
    <row r="126" spans="1:18" x14ac:dyDescent="0.25">
      <c r="A126">
        <v>450.39</v>
      </c>
      <c r="B126">
        <v>471.33</v>
      </c>
      <c r="C126" s="5">
        <v>105.55</v>
      </c>
      <c r="D126" s="5">
        <v>281.19</v>
      </c>
      <c r="E126" s="5">
        <v>122.47</v>
      </c>
      <c r="F126" s="5">
        <v>440.72</v>
      </c>
      <c r="G126" s="5">
        <v>204.65</v>
      </c>
      <c r="I126" s="6" cm="1">
        <f t="array" ref="I126">st60_Temp(A126)</f>
        <v>314</v>
      </c>
      <c r="J126" s="6" cm="1">
        <f t="array" ref="J126">st60_Temp(B126)</f>
        <v>313</v>
      </c>
      <c r="K126" s="6">
        <f t="shared" si="72"/>
        <v>313.5</v>
      </c>
      <c r="M126">
        <f t="shared" si="73"/>
        <v>3.140864169775795E-8</v>
      </c>
      <c r="N126">
        <f t="shared" si="74"/>
        <v>6.7800256909871296E-4</v>
      </c>
      <c r="O126">
        <f t="shared" si="75"/>
        <v>3.392409983008149E-14</v>
      </c>
      <c r="P126">
        <f t="shared" si="76"/>
        <v>5.7827752979807811E-4</v>
      </c>
      <c r="Q126">
        <f t="shared" si="77"/>
        <v>4.1214012964404562E-10</v>
      </c>
    </row>
    <row r="127" spans="1:18" x14ac:dyDescent="0.25">
      <c r="A127">
        <v>449.58</v>
      </c>
      <c r="B127">
        <v>466.5</v>
      </c>
      <c r="C127" s="5">
        <v>109.58</v>
      </c>
      <c r="D127" s="5">
        <v>282.8</v>
      </c>
      <c r="E127" s="5">
        <v>121.66</v>
      </c>
      <c r="F127" s="5">
        <v>441.52</v>
      </c>
      <c r="G127" s="5">
        <v>204.65</v>
      </c>
      <c r="I127" s="6" cm="1">
        <f t="array" ref="I127">st60_Temp(A127)</f>
        <v>314</v>
      </c>
      <c r="J127" s="6" cm="1">
        <f t="array" ref="J127">st60_Temp(B127)</f>
        <v>313</v>
      </c>
      <c r="K127" s="6">
        <f t="shared" si="72"/>
        <v>313.5</v>
      </c>
      <c r="M127">
        <f t="shared" si="73"/>
        <v>3.260785369247102E-8</v>
      </c>
      <c r="N127">
        <f t="shared" si="74"/>
        <v>6.818845853021659E-4</v>
      </c>
      <c r="O127">
        <f t="shared" si="75"/>
        <v>3.3699730426453127E-14</v>
      </c>
      <c r="P127">
        <f t="shared" si="76"/>
        <v>5.7932722580424632E-4</v>
      </c>
      <c r="Q127">
        <f t="shared" si="77"/>
        <v>4.1214012964404562E-10</v>
      </c>
    </row>
    <row r="128" spans="1:18" x14ac:dyDescent="0.25">
      <c r="A128">
        <v>443.94</v>
      </c>
      <c r="B128">
        <v>461.67</v>
      </c>
      <c r="C128" s="5">
        <v>109.58</v>
      </c>
      <c r="D128" s="5">
        <v>282.8</v>
      </c>
      <c r="E128" s="5">
        <v>122.47</v>
      </c>
      <c r="F128" s="5">
        <v>440.72</v>
      </c>
      <c r="G128" s="5">
        <v>204.65</v>
      </c>
      <c r="I128" s="6" cm="1">
        <f t="array" ref="I128">st60_Temp(A128)</f>
        <v>314</v>
      </c>
      <c r="J128" s="6" cm="1">
        <f t="array" ref="J128">st60_Temp(B128)</f>
        <v>313</v>
      </c>
      <c r="K128" s="6">
        <f t="shared" si="72"/>
        <v>313.5</v>
      </c>
      <c r="M128">
        <f t="shared" si="73"/>
        <v>3.260785369247102E-8</v>
      </c>
      <c r="N128">
        <f t="shared" si="74"/>
        <v>6.818845853021659E-4</v>
      </c>
      <c r="O128">
        <f t="shared" si="75"/>
        <v>3.392409983008149E-14</v>
      </c>
      <c r="P128">
        <f t="shared" si="76"/>
        <v>5.7827752979807811E-4</v>
      </c>
      <c r="Q128">
        <f t="shared" si="77"/>
        <v>4.1214012964404562E-10</v>
      </c>
    </row>
    <row r="129" spans="1:18" x14ac:dyDescent="0.25">
      <c r="A129">
        <v>441.52</v>
      </c>
      <c r="B129">
        <v>460.05</v>
      </c>
      <c r="C129" s="5">
        <v>107.16</v>
      </c>
      <c r="D129" s="5">
        <v>281.99</v>
      </c>
      <c r="E129" s="5">
        <v>120.86</v>
      </c>
      <c r="F129" s="5">
        <v>441.52</v>
      </c>
      <c r="G129" s="5">
        <v>202.23</v>
      </c>
      <c r="I129" s="6" cm="1">
        <f t="array" ref="I129">st60_Temp(A129)</f>
        <v>315</v>
      </c>
      <c r="J129" s="6" cm="1">
        <f t="array" ref="J129">st60_Temp(B129)</f>
        <v>313</v>
      </c>
      <c r="K129" s="6">
        <f t="shared" si="72"/>
        <v>314</v>
      </c>
      <c r="M129">
        <f t="shared" si="73"/>
        <v>3.1924727170959279E-8</v>
      </c>
      <c r="N129">
        <f t="shared" si="74"/>
        <v>6.8137880179039271E-4</v>
      </c>
      <c r="O129">
        <f t="shared" si="75"/>
        <v>3.3478131015462149E-14</v>
      </c>
      <c r="P129">
        <f t="shared" si="76"/>
        <v>5.7932722580424632E-4</v>
      </c>
      <c r="Q129">
        <f t="shared" si="77"/>
        <v>4.0742897542832145E-10</v>
      </c>
    </row>
    <row r="130" spans="1:18" x14ac:dyDescent="0.25">
      <c r="A130">
        <v>437.5</v>
      </c>
      <c r="B130">
        <v>457.64</v>
      </c>
      <c r="C130" s="5">
        <v>102.32</v>
      </c>
      <c r="D130" s="5">
        <v>273.94</v>
      </c>
      <c r="E130" s="5">
        <v>120.86</v>
      </c>
      <c r="F130" s="5">
        <v>439.91</v>
      </c>
      <c r="G130" s="5">
        <v>204.65</v>
      </c>
      <c r="I130" s="6" cm="1">
        <f t="array" ref="I130">st60_Temp(A130)</f>
        <v>315</v>
      </c>
      <c r="J130" s="6" cm="1">
        <f t="array" ref="J130">st60_Temp(B130)</f>
        <v>314</v>
      </c>
      <c r="K130" s="6">
        <f t="shared" si="72"/>
        <v>314.5</v>
      </c>
      <c r="M130">
        <f t="shared" si="73"/>
        <v>3.0482811535391505E-8</v>
      </c>
      <c r="N130">
        <f t="shared" si="74"/>
        <v>6.6192740509401105E-4</v>
      </c>
      <c r="O130">
        <f t="shared" si="75"/>
        <v>3.3491394347493077E-14</v>
      </c>
      <c r="P130">
        <f t="shared" si="76"/>
        <v>5.7839031729354617E-4</v>
      </c>
      <c r="Q130">
        <f t="shared" si="77"/>
        <v>4.12469848531248E-10</v>
      </c>
    </row>
    <row r="131" spans="1:18" x14ac:dyDescent="0.25">
      <c r="A131">
        <v>434.27</v>
      </c>
      <c r="B131">
        <v>452.8</v>
      </c>
      <c r="C131" s="5">
        <v>103.13</v>
      </c>
      <c r="D131" s="5">
        <v>276.36</v>
      </c>
      <c r="E131" s="5">
        <v>121.66</v>
      </c>
      <c r="F131" s="5">
        <v>441.52</v>
      </c>
      <c r="G131" s="5">
        <v>203.04</v>
      </c>
      <c r="I131" s="6" cm="1">
        <f t="array" ref="I131">st60_Temp(A131)</f>
        <v>315</v>
      </c>
      <c r="J131" s="6" cm="1">
        <f t="array" ref="J131">st60_Temp(B131)</f>
        <v>314</v>
      </c>
      <c r="K131" s="6">
        <f t="shared" si="72"/>
        <v>314.5</v>
      </c>
      <c r="M131">
        <f t="shared" si="73"/>
        <v>3.0724123862831568E-8</v>
      </c>
      <c r="N131">
        <f t="shared" si="74"/>
        <v>6.6777490571578047E-4</v>
      </c>
      <c r="O131">
        <f t="shared" si="75"/>
        <v>3.3713081551514213E-14</v>
      </c>
      <c r="P131">
        <f t="shared" si="76"/>
        <v>5.8050713303049826E-4</v>
      </c>
      <c r="Q131">
        <f t="shared" si="77"/>
        <v>4.0922491104707837E-10</v>
      </c>
    </row>
    <row r="132" spans="1:18" x14ac:dyDescent="0.25">
      <c r="A132">
        <v>429.44</v>
      </c>
      <c r="B132">
        <v>449.58</v>
      </c>
      <c r="C132" s="5">
        <v>106.35</v>
      </c>
      <c r="D132" s="5">
        <v>276.36</v>
      </c>
      <c r="E132" s="5">
        <v>123.27</v>
      </c>
      <c r="F132" s="5">
        <v>439.91</v>
      </c>
      <c r="G132" s="5">
        <v>203.84</v>
      </c>
      <c r="I132" s="6" cm="1">
        <f t="array" ref="I132">st60_Temp(A132)</f>
        <v>315</v>
      </c>
      <c r="J132" s="6" cm="1">
        <f t="array" ref="J132">st60_Temp(B132)</f>
        <v>314</v>
      </c>
      <c r="K132" s="6">
        <f t="shared" si="72"/>
        <v>314.5</v>
      </c>
      <c r="M132">
        <f t="shared" si="73"/>
        <v>3.1683414843519216E-8</v>
      </c>
      <c r="N132">
        <f t="shared" si="74"/>
        <v>6.6777490571578047E-4</v>
      </c>
      <c r="O132">
        <f t="shared" si="75"/>
        <v>3.4159227049606745E-14</v>
      </c>
      <c r="P132">
        <f t="shared" si="76"/>
        <v>5.7839031729354617E-4</v>
      </c>
      <c r="Q132">
        <f t="shared" si="77"/>
        <v>4.1083730234356017E-10</v>
      </c>
    </row>
    <row r="133" spans="1:18" x14ac:dyDescent="0.25">
      <c r="A133">
        <v>428.63</v>
      </c>
      <c r="B133">
        <v>447.97</v>
      </c>
      <c r="C133" s="5">
        <v>106.35</v>
      </c>
      <c r="D133" s="5">
        <v>277.97000000000003</v>
      </c>
      <c r="E133" s="5">
        <v>121.66</v>
      </c>
      <c r="F133" s="5">
        <v>438.3</v>
      </c>
      <c r="G133" s="5">
        <v>202.23</v>
      </c>
      <c r="I133" s="6" cm="1">
        <f t="array" ref="I133">st60_Temp(A133)</f>
        <v>315</v>
      </c>
      <c r="J133" s="6" cm="1">
        <f t="array" ref="J133">st60_Temp(B133)</f>
        <v>314</v>
      </c>
      <c r="K133" s="6">
        <f t="shared" si="72"/>
        <v>314.5</v>
      </c>
      <c r="M133">
        <f t="shared" si="73"/>
        <v>3.1683414843519216E-8</v>
      </c>
      <c r="N133">
        <f t="shared" si="74"/>
        <v>6.7166518505505689E-4</v>
      </c>
      <c r="O133">
        <f t="shared" si="75"/>
        <v>3.3713081551514213E-14</v>
      </c>
      <c r="P133">
        <f t="shared" si="76"/>
        <v>5.7627350155659398E-4</v>
      </c>
      <c r="Q133">
        <f t="shared" si="77"/>
        <v>4.0759236485939054E-10</v>
      </c>
    </row>
    <row r="134" spans="1:18" x14ac:dyDescent="0.25">
      <c r="A134">
        <v>424.6</v>
      </c>
      <c r="B134">
        <v>445.55</v>
      </c>
      <c r="C134" s="5">
        <v>107.16</v>
      </c>
      <c r="D134" s="5">
        <v>275.55</v>
      </c>
      <c r="E134" s="5">
        <v>123.27</v>
      </c>
      <c r="F134" s="5">
        <v>441.52</v>
      </c>
      <c r="G134" s="5">
        <v>205.45</v>
      </c>
      <c r="I134" s="6" cm="1">
        <f t="array" ref="I134">st60_Temp(A134)</f>
        <v>316</v>
      </c>
      <c r="J134" s="6" cm="1">
        <f t="array" ref="J134">st60_Temp(B134)</f>
        <v>314</v>
      </c>
      <c r="K134" s="6">
        <f t="shared" si="72"/>
        <v>315</v>
      </c>
      <c r="M134">
        <f t="shared" si="73"/>
        <v>3.1962095797155147E-8</v>
      </c>
      <c r="N134">
        <f t="shared" si="74"/>
        <v>6.6724271595796779E-4</v>
      </c>
      <c r="O134">
        <f t="shared" si="75"/>
        <v>3.4159227049606745E-14</v>
      </c>
      <c r="P134">
        <f t="shared" si="76"/>
        <v>5.8050713303049826E-4</v>
      </c>
      <c r="Q134">
        <f t="shared" si="77"/>
        <v>4.1424921014773946E-10</v>
      </c>
    </row>
    <row r="135" spans="1:18" x14ac:dyDescent="0.25">
      <c r="A135">
        <v>420.58</v>
      </c>
      <c r="B135">
        <v>439.11</v>
      </c>
      <c r="C135" s="5">
        <v>105.55</v>
      </c>
      <c r="D135" s="5">
        <v>276.36</v>
      </c>
      <c r="E135" s="5">
        <v>122.47</v>
      </c>
      <c r="F135" s="5">
        <v>438.3</v>
      </c>
      <c r="G135" s="5">
        <v>203.84</v>
      </c>
      <c r="I135" s="6" cm="1">
        <f t="array" ref="I135">st60_Temp(A135)</f>
        <v>316</v>
      </c>
      <c r="J135" s="6" cm="1">
        <f t="array" ref="J135">st60_Temp(B135)</f>
        <v>315</v>
      </c>
      <c r="K135" s="6">
        <f t="shared" si="72"/>
        <v>315.5</v>
      </c>
      <c r="M135">
        <f t="shared" si="73"/>
        <v>3.1481888870751459E-8</v>
      </c>
      <c r="N135">
        <f t="shared" si="74"/>
        <v>6.6920412622806734E-4</v>
      </c>
      <c r="O135">
        <f t="shared" si="75"/>
        <v>3.3951187814560634E-14</v>
      </c>
      <c r="P135">
        <f t="shared" si="76"/>
        <v>5.7745389045854828E-4</v>
      </c>
      <c r="Q135">
        <f t="shared" si="77"/>
        <v>4.1116960284965082E-10</v>
      </c>
    </row>
    <row r="136" spans="1:18" x14ac:dyDescent="0.25">
      <c r="A136">
        <v>417.35</v>
      </c>
      <c r="B136">
        <v>439.11</v>
      </c>
      <c r="C136" s="5">
        <v>103.94</v>
      </c>
      <c r="D136" s="5">
        <v>277.16000000000003</v>
      </c>
      <c r="E136" s="5">
        <v>122.47</v>
      </c>
      <c r="F136" s="5">
        <v>439.91</v>
      </c>
      <c r="G136" s="5">
        <v>205.45</v>
      </c>
      <c r="I136" s="6" cm="1">
        <f t="array" ref="I136">st60_Temp(A136)</f>
        <v>316</v>
      </c>
      <c r="J136" s="6" cm="1">
        <f t="array" ref="J136">st60_Temp(B136)</f>
        <v>315</v>
      </c>
      <c r="K136" s="6">
        <f t="shared" si="72"/>
        <v>315.5</v>
      </c>
      <c r="M136">
        <f t="shared" si="73"/>
        <v>3.1001681944347765E-8</v>
      </c>
      <c r="N136">
        <f t="shared" si="74"/>
        <v>6.7114132155656088E-4</v>
      </c>
      <c r="O136">
        <f t="shared" si="75"/>
        <v>3.3951187814560634E-14</v>
      </c>
      <c r="P136">
        <f t="shared" si="76"/>
        <v>5.7957504209815193E-4</v>
      </c>
      <c r="Q136">
        <f t="shared" si="77"/>
        <v>4.1441716496007043E-10</v>
      </c>
    </row>
    <row r="137" spans="1:18" x14ac:dyDescent="0.25">
      <c r="A137">
        <v>414.13</v>
      </c>
      <c r="B137">
        <v>435.08</v>
      </c>
      <c r="C137" s="5">
        <v>106.35</v>
      </c>
      <c r="D137" s="5">
        <v>277.97000000000003</v>
      </c>
      <c r="E137" s="5">
        <v>123.27</v>
      </c>
      <c r="F137" s="5">
        <v>437.5</v>
      </c>
      <c r="G137" s="5">
        <v>203.84</v>
      </c>
      <c r="I137" s="6" cm="1">
        <f t="array" ref="I137">st60_Temp(A137)</f>
        <v>316</v>
      </c>
      <c r="J137" s="6" cm="1">
        <f t="array" ref="J137">st60_Temp(B137)</f>
        <v>315</v>
      </c>
      <c r="K137" s="6">
        <f t="shared" si="72"/>
        <v>315.5</v>
      </c>
      <c r="M137">
        <f t="shared" si="73"/>
        <v>3.1720501008094908E-8</v>
      </c>
      <c r="N137">
        <f t="shared" si="74"/>
        <v>6.7310273182666054E-4</v>
      </c>
      <c r="O137">
        <f t="shared" si="75"/>
        <v>3.4172964170008074E-14</v>
      </c>
      <c r="P137">
        <f t="shared" si="76"/>
        <v>5.7639990206619866E-4</v>
      </c>
      <c r="Q137">
        <f t="shared" si="77"/>
        <v>4.1116960284965082E-10</v>
      </c>
    </row>
    <row r="138" spans="1:18" x14ac:dyDescent="0.25">
      <c r="A138">
        <v>411.71</v>
      </c>
      <c r="B138">
        <v>432.66</v>
      </c>
      <c r="C138" s="5">
        <v>106.35</v>
      </c>
      <c r="D138" s="5">
        <v>276.36</v>
      </c>
      <c r="E138" s="5">
        <v>122.47</v>
      </c>
      <c r="F138" s="5">
        <v>435.08</v>
      </c>
      <c r="G138" s="5">
        <v>203.04</v>
      </c>
      <c r="I138" s="6" cm="1">
        <f t="array" ref="I138">st60_Temp(A138)</f>
        <v>317</v>
      </c>
      <c r="J138" s="6" cm="1">
        <f t="array" ref="J138">st60_Temp(B138)</f>
        <v>315</v>
      </c>
      <c r="K138" s="6">
        <f t="shared" si="72"/>
        <v>316</v>
      </c>
      <c r="M138">
        <f t="shared" si="73"/>
        <v>3.1757960755174765E-8</v>
      </c>
      <c r="N138">
        <f t="shared" si="74"/>
        <v>6.7064428328659055E-4</v>
      </c>
      <c r="O138">
        <f t="shared" si="75"/>
        <v>3.3951187814560634E-14</v>
      </c>
      <c r="P138">
        <f t="shared" si="76"/>
        <v>5.7321158717934108E-4</v>
      </c>
      <c r="Q138">
        <f t="shared" si="77"/>
        <v>4.0972287011458775E-10</v>
      </c>
    </row>
    <row r="139" spans="1:18" x14ac:dyDescent="0.25">
      <c r="A139">
        <v>407.68</v>
      </c>
      <c r="B139">
        <v>426.22</v>
      </c>
      <c r="C139" s="5">
        <v>103.94</v>
      </c>
      <c r="D139" s="5">
        <v>277.97000000000003</v>
      </c>
      <c r="E139" s="5">
        <v>119.24</v>
      </c>
      <c r="F139" s="5">
        <v>439.11</v>
      </c>
      <c r="G139" s="5">
        <v>203.84</v>
      </c>
      <c r="I139" s="6" cm="1">
        <f t="array" ref="I139">st60_Temp(A139)</f>
        <v>317</v>
      </c>
      <c r="J139" s="6" cm="1">
        <f t="array" ref="J139">st60_Temp(B139)</f>
        <v>316</v>
      </c>
      <c r="K139" s="6">
        <f t="shared" si="72"/>
        <v>316.5</v>
      </c>
      <c r="M139">
        <f t="shared" si="73"/>
        <v>3.1038292815165632E-8</v>
      </c>
      <c r="N139">
        <f t="shared" si="74"/>
        <v>6.7455127885791572E-4</v>
      </c>
      <c r="O139">
        <f t="shared" si="75"/>
        <v>3.3069258939755758E-14</v>
      </c>
      <c r="P139">
        <f t="shared" si="76"/>
        <v>5.7971281210630649E-4</v>
      </c>
      <c r="Q139">
        <f t="shared" si="77"/>
        <v>4.1150583111998936E-10</v>
      </c>
    </row>
    <row r="140" spans="1:18" x14ac:dyDescent="0.25">
      <c r="A140">
        <v>403.66</v>
      </c>
      <c r="B140">
        <v>425.41</v>
      </c>
      <c r="C140" s="5">
        <v>103.94</v>
      </c>
      <c r="D140" s="5">
        <v>275.55</v>
      </c>
      <c r="E140" s="5">
        <v>122.47</v>
      </c>
      <c r="F140" s="5">
        <v>439.11</v>
      </c>
      <c r="G140" s="5">
        <v>202.23</v>
      </c>
      <c r="I140" s="6" cm="1">
        <f t="array" ref="I140">st60_Temp(A140)</f>
        <v>317</v>
      </c>
      <c r="J140" s="6" cm="1">
        <f t="array" ref="J140">st60_Temp(B140)</f>
        <v>316</v>
      </c>
      <c r="K140" s="6">
        <f t="shared" si="72"/>
        <v>316.5</v>
      </c>
      <c r="M140">
        <f t="shared" si="73"/>
        <v>3.1038292815165632E-8</v>
      </c>
      <c r="N140">
        <f t="shared" si="74"/>
        <v>6.6867865197430898E-4</v>
      </c>
      <c r="O140">
        <f t="shared" si="75"/>
        <v>3.3965046480643138E-14</v>
      </c>
      <c r="P140">
        <f t="shared" si="76"/>
        <v>5.7971281210630649E-4</v>
      </c>
      <c r="Q140">
        <f t="shared" si="77"/>
        <v>4.0825561336045643E-10</v>
      </c>
    </row>
    <row r="141" spans="1:18" x14ac:dyDescent="0.25">
      <c r="A141">
        <v>401.24</v>
      </c>
      <c r="B141">
        <v>422.99</v>
      </c>
      <c r="C141" s="5">
        <v>102.32</v>
      </c>
      <c r="D141" s="5">
        <v>273.13</v>
      </c>
      <c r="E141" s="5">
        <v>123.27</v>
      </c>
      <c r="F141" s="5">
        <v>437.5</v>
      </c>
      <c r="G141" s="5">
        <v>203.84</v>
      </c>
      <c r="I141" s="6" cm="1">
        <f t="array" ref="I141">st60_Temp(A141)</f>
        <v>317</v>
      </c>
      <c r="J141" s="6" cm="1">
        <f t="array" ref="J141">st60_Temp(B141)</f>
        <v>316</v>
      </c>
      <c r="K141" s="6">
        <f t="shared" si="72"/>
        <v>316.5</v>
      </c>
      <c r="M141">
        <f t="shared" si="73"/>
        <v>3.05545326231263E-8</v>
      </c>
      <c r="N141">
        <f t="shared" si="74"/>
        <v>6.6280602509070224E-4</v>
      </c>
      <c r="O141">
        <f t="shared" si="75"/>
        <v>3.4186913363835061E-14</v>
      </c>
      <c r="P141">
        <f t="shared" si="76"/>
        <v>5.7758729087588323E-4</v>
      </c>
      <c r="Q141">
        <f t="shared" si="77"/>
        <v>4.1150583111998936E-10</v>
      </c>
    </row>
    <row r="142" spans="1:18" x14ac:dyDescent="0.25">
      <c r="C142" s="11">
        <f>AVERAGE(C122:C141)</f>
        <v>106.434</v>
      </c>
      <c r="D142" s="11">
        <f t="shared" ref="D142:G142" si="78">AVERAGE(D122:D141)</f>
        <v>279.21650000000011</v>
      </c>
      <c r="E142" s="11">
        <f t="shared" si="78"/>
        <v>122.22549999999998</v>
      </c>
      <c r="F142" s="11">
        <f t="shared" si="78"/>
        <v>439.91250000000002</v>
      </c>
      <c r="G142" s="11">
        <f t="shared" si="78"/>
        <v>203.88200000000001</v>
      </c>
      <c r="H142" s="11">
        <f>H121</f>
        <v>623</v>
      </c>
      <c r="I142" s="11">
        <f>AVERAGE(I122:I141)</f>
        <v>315.14999999999998</v>
      </c>
      <c r="J142" s="11">
        <f t="shared" ref="J142:K142" si="79">AVERAGE(J122:J141)</f>
        <v>313.95</v>
      </c>
      <c r="K142" s="11">
        <f t="shared" si="79"/>
        <v>314.55</v>
      </c>
      <c r="M142" s="4">
        <f>AVERAGE(M122:M141)</f>
        <v>3.1713428798701901E-8</v>
      </c>
      <c r="N142" s="4">
        <f t="shared" ref="N142" si="80">AVERAGE(N122:N141)</f>
        <v>6.7488024351795351E-4</v>
      </c>
      <c r="O142" s="4">
        <f t="shared" ref="O142" si="81">AVERAGE(O122:O141)</f>
        <v>3.3869258528366646E-14</v>
      </c>
      <c r="P142" s="4">
        <f t="shared" ref="P142" si="82">AVERAGE(P122:P141)</f>
        <v>5.783375854209918E-4</v>
      </c>
      <c r="Q142" s="4">
        <f t="shared" ref="Q142" si="83">AVERAGE(Q122:Q141)</f>
        <v>4.1094122015493371E-10</v>
      </c>
      <c r="R142" s="4" t="s">
        <v>18</v>
      </c>
    </row>
    <row r="143" spans="1:18" x14ac:dyDescent="0.25">
      <c r="C143" s="5"/>
      <c r="D143" s="5"/>
      <c r="E143" s="5"/>
      <c r="F143" s="5"/>
      <c r="G143" s="5"/>
      <c r="I143" s="6"/>
      <c r="J143" s="6"/>
      <c r="K143" s="6"/>
      <c r="M143" s="8">
        <f>STDEV(M122:M141)</f>
        <v>7.7034980228292333E-10</v>
      </c>
      <c r="N143" s="8">
        <f t="shared" ref="N143:Q143" si="84">STDEV(N122:N141)</f>
        <v>8.5801544965522135E-6</v>
      </c>
      <c r="O143" s="8">
        <f t="shared" si="84"/>
        <v>2.882662500014472E-16</v>
      </c>
      <c r="P143" s="8">
        <f t="shared" si="84"/>
        <v>1.7074823677767318E-6</v>
      </c>
      <c r="Q143" s="8">
        <f t="shared" si="84"/>
        <v>2.170902195235447E-12</v>
      </c>
      <c r="R143" s="8" t="s">
        <v>19</v>
      </c>
    </row>
    <row r="144" spans="1:18" x14ac:dyDescent="0.25">
      <c r="A144" t="s">
        <v>0</v>
      </c>
      <c r="B144" t="s">
        <v>1</v>
      </c>
      <c r="C144" s="5">
        <v>3.95</v>
      </c>
      <c r="D144" s="5">
        <v>10.95</v>
      </c>
      <c r="E144" s="5" t="s">
        <v>2</v>
      </c>
      <c r="F144" s="5" t="s">
        <v>3</v>
      </c>
      <c r="G144" s="5" t="s">
        <v>4</v>
      </c>
      <c r="H144" s="3">
        <f>273+400</f>
        <v>673</v>
      </c>
      <c r="I144" s="6"/>
      <c r="J144" s="6"/>
      <c r="K144" s="6"/>
      <c r="M144" s="7">
        <f>ABS(100*M143/M142)</f>
        <v>2.4290965419496215</v>
      </c>
      <c r="N144" s="7">
        <f t="shared" ref="N144" si="85">ABS(100*N143/N142)</f>
        <v>1.2713595603015988</v>
      </c>
      <c r="O144" s="7">
        <f t="shared" ref="O144" si="86">ABS(100*O143/O142)</f>
        <v>0.85111473509233893</v>
      </c>
      <c r="P144" s="7">
        <f t="shared" ref="P144" si="87">ABS(100*P143/P142)</f>
        <v>0.29523973727797698</v>
      </c>
      <c r="Q144" s="7">
        <f t="shared" ref="Q144" si="88">ABS(100*Q143/Q142)</f>
        <v>0.52827559971155236</v>
      </c>
      <c r="R144" s="7" t="s">
        <v>20</v>
      </c>
    </row>
    <row r="145" spans="1:17" x14ac:dyDescent="0.25">
      <c r="A145">
        <v>515.65</v>
      </c>
      <c r="B145">
        <v>521.29</v>
      </c>
      <c r="C145" s="5">
        <v>154.69</v>
      </c>
      <c r="D145" s="5">
        <v>356.12</v>
      </c>
      <c r="E145" s="5">
        <v>186.92</v>
      </c>
      <c r="F145" s="5">
        <v>553.52</v>
      </c>
      <c r="G145" s="5">
        <v>283.61</v>
      </c>
      <c r="I145" s="6" cm="1">
        <f t="array" ref="I145">st60_Temp(A145)</f>
        <v>310</v>
      </c>
      <c r="J145" s="6" cm="1">
        <f t="array" ref="J145">st60_Temp(B145)</f>
        <v>310</v>
      </c>
      <c r="K145" s="6">
        <f>AVERAGE(I145:J145)</f>
        <v>310</v>
      </c>
      <c r="M145">
        <f t="shared" ref="M145:M164" si="89">C145/($H$144^MMpow-$I145^MMpow)</f>
        <v>3.4372300483010084E-8</v>
      </c>
      <c r="N145">
        <f t="shared" ref="N145:N164" si="90">D145/($H$144^MLpow-$I145^MLpow)</f>
        <v>6.9474725292043265E-4</v>
      </c>
      <c r="O145">
        <f t="shared" ref="O145:O164" si="91">E145/($H$144^MWpow-$J145^MWpow)</f>
        <v>3.3396794990759073E-14</v>
      </c>
      <c r="P145">
        <f t="shared" ref="P145:P164" si="92">F145/($H$144^LWpow-$J145^LWpow)</f>
        <v>5.8596145707491402E-4</v>
      </c>
      <c r="Q145">
        <f t="shared" ref="Q145:Q164" si="93">G145/($H$144^Wpow-$K145^Wpow)</f>
        <v>4.0569871670341771E-10</v>
      </c>
    </row>
    <row r="146" spans="1:17" x14ac:dyDescent="0.25">
      <c r="A146">
        <v>511.62</v>
      </c>
      <c r="B146">
        <v>517.26</v>
      </c>
      <c r="C146" s="5">
        <v>153.88999999999999</v>
      </c>
      <c r="D146" s="5">
        <v>356.93</v>
      </c>
      <c r="E146" s="5">
        <v>187.73</v>
      </c>
      <c r="F146" s="5">
        <v>555.13</v>
      </c>
      <c r="G146" s="5">
        <v>284.41000000000003</v>
      </c>
      <c r="I146" s="6" cm="1">
        <f t="array" ref="I146">st60_Temp(A146)</f>
        <v>310</v>
      </c>
      <c r="J146" s="6" cm="1">
        <f t="array" ref="J146">st60_Temp(B146)</f>
        <v>310</v>
      </c>
      <c r="K146" s="6">
        <f>AVERAGE(I146:J146)</f>
        <v>310</v>
      </c>
      <c r="M146">
        <f t="shared" si="89"/>
        <v>3.419453953927482E-8</v>
      </c>
      <c r="N146">
        <f t="shared" si="90"/>
        <v>6.9632746541865105E-4</v>
      </c>
      <c r="O146">
        <f t="shared" si="91"/>
        <v>3.354151681797133E-14</v>
      </c>
      <c r="P146">
        <f t="shared" si="92"/>
        <v>5.876658181565202E-4</v>
      </c>
      <c r="Q146">
        <f t="shared" si="93"/>
        <v>4.0684310150424539E-10</v>
      </c>
    </row>
    <row r="147" spans="1:17" x14ac:dyDescent="0.25">
      <c r="A147">
        <v>504.37</v>
      </c>
      <c r="B147">
        <v>513.23</v>
      </c>
      <c r="C147" s="5">
        <v>153.88999999999999</v>
      </c>
      <c r="D147" s="5">
        <v>356.93</v>
      </c>
      <c r="E147" s="5">
        <v>187.73</v>
      </c>
      <c r="F147" s="5">
        <v>552.71</v>
      </c>
      <c r="G147" s="5">
        <v>284.41000000000003</v>
      </c>
      <c r="I147" s="6" cm="1">
        <f t="array" ref="I147">st60_Temp(A147)</f>
        <v>311</v>
      </c>
      <c r="J147" s="6" cm="1">
        <f t="array" ref="J147">st60_Temp(B147)</f>
        <v>310</v>
      </c>
      <c r="K147" s="6">
        <f>AVERAGE(I147:J147)</f>
        <v>310.5</v>
      </c>
      <c r="M147">
        <f t="shared" si="89"/>
        <v>3.4223248896787822E-8</v>
      </c>
      <c r="N147">
        <f t="shared" si="90"/>
        <v>6.9751011127078526E-4</v>
      </c>
      <c r="O147">
        <f t="shared" si="91"/>
        <v>3.354151681797133E-14</v>
      </c>
      <c r="P147">
        <f t="shared" si="92"/>
        <v>5.8510398348727373E-4</v>
      </c>
      <c r="Q147">
        <f t="shared" si="93"/>
        <v>4.0695428686206595E-10</v>
      </c>
    </row>
    <row r="148" spans="1:17" x14ac:dyDescent="0.25">
      <c r="A148">
        <v>497.92</v>
      </c>
      <c r="B148">
        <v>505.17</v>
      </c>
      <c r="C148" s="5">
        <v>159.53</v>
      </c>
      <c r="D148" s="5">
        <v>363.37</v>
      </c>
      <c r="E148" s="5">
        <v>186.12</v>
      </c>
      <c r="F148" s="5">
        <v>553.52</v>
      </c>
      <c r="G148" s="5">
        <v>284.41000000000003</v>
      </c>
      <c r="I148" s="6" cm="1">
        <f t="array" ref="I148">st60_Temp(A148)</f>
        <v>311</v>
      </c>
      <c r="J148" s="6" cm="1">
        <f t="array" ref="J148">st60_Temp(B148)</f>
        <v>311</v>
      </c>
      <c r="K148" s="6">
        <f t="shared" ref="K148:K164" si="94">AVERAGE(I148:J148)</f>
        <v>311</v>
      </c>
      <c r="M148">
        <f t="shared" si="89"/>
        <v>3.5477515735295097E-8</v>
      </c>
      <c r="N148">
        <f t="shared" si="90"/>
        <v>7.1009511425900102E-4</v>
      </c>
      <c r="O148">
        <f t="shared" si="91"/>
        <v>3.3261990994094224E-14</v>
      </c>
      <c r="P148">
        <f t="shared" si="92"/>
        <v>5.8691336365671986E-4</v>
      </c>
      <c r="Q148">
        <f t="shared" si="93"/>
        <v>4.0706610687543413E-10</v>
      </c>
    </row>
    <row r="149" spans="1:17" x14ac:dyDescent="0.25">
      <c r="A149">
        <v>493.89</v>
      </c>
      <c r="B149">
        <v>500.34</v>
      </c>
      <c r="C149" s="5">
        <v>159.53</v>
      </c>
      <c r="D149" s="5">
        <v>362.57</v>
      </c>
      <c r="E149" s="5">
        <v>186.92</v>
      </c>
      <c r="F149" s="5">
        <v>555.13</v>
      </c>
      <c r="G149" s="5">
        <v>284.41000000000003</v>
      </c>
      <c r="I149" s="6" cm="1">
        <f t="array" ref="I149">st60_Temp(A149)</f>
        <v>311</v>
      </c>
      <c r="J149" s="6" cm="1">
        <f t="array" ref="J149">st60_Temp(B149)</f>
        <v>311</v>
      </c>
      <c r="K149" s="6">
        <f t="shared" si="94"/>
        <v>311</v>
      </c>
      <c r="M149">
        <f t="shared" si="89"/>
        <v>3.5477515735295097E-8</v>
      </c>
      <c r="N149">
        <f t="shared" si="90"/>
        <v>7.0853175985052699E-4</v>
      </c>
      <c r="O149">
        <f t="shared" si="91"/>
        <v>3.3404961082184026E-14</v>
      </c>
      <c r="P149">
        <f t="shared" si="92"/>
        <v>5.8862049350837348E-4</v>
      </c>
      <c r="Q149">
        <f t="shared" si="93"/>
        <v>4.0706610687543413E-10</v>
      </c>
    </row>
    <row r="150" spans="1:17" x14ac:dyDescent="0.25">
      <c r="A150">
        <v>485.84</v>
      </c>
      <c r="B150">
        <v>494.7</v>
      </c>
      <c r="C150" s="5">
        <v>155.5</v>
      </c>
      <c r="D150" s="5">
        <v>363.37</v>
      </c>
      <c r="E150" s="5">
        <v>186.12</v>
      </c>
      <c r="F150" s="5">
        <v>552.71</v>
      </c>
      <c r="G150" s="5">
        <v>281.99</v>
      </c>
      <c r="I150" s="6" cm="1">
        <f t="array" ref="I150">st60_Temp(A150)</f>
        <v>312</v>
      </c>
      <c r="J150" s="6" cm="1">
        <f t="array" ref="J150">st60_Temp(B150)</f>
        <v>311</v>
      </c>
      <c r="K150" s="6">
        <f t="shared" si="94"/>
        <v>311.5</v>
      </c>
      <c r="M150">
        <f t="shared" si="89"/>
        <v>3.4610579247800646E-8</v>
      </c>
      <c r="N150">
        <f t="shared" si="90"/>
        <v>7.1130730294751538E-4</v>
      </c>
      <c r="O150">
        <f t="shared" si="91"/>
        <v>3.3261990994094224E-14</v>
      </c>
      <c r="P150">
        <f t="shared" si="92"/>
        <v>5.860544970853911E-4</v>
      </c>
      <c r="Q150">
        <f t="shared" si="93"/>
        <v>4.0371394614654563E-10</v>
      </c>
    </row>
    <row r="151" spans="1:17" x14ac:dyDescent="0.25">
      <c r="A151">
        <v>481</v>
      </c>
      <c r="B151">
        <v>488.25</v>
      </c>
      <c r="C151" s="5">
        <v>155.5</v>
      </c>
      <c r="D151" s="5">
        <v>357.73</v>
      </c>
      <c r="E151" s="5">
        <v>186.12</v>
      </c>
      <c r="F151" s="5">
        <v>555.13</v>
      </c>
      <c r="G151" s="5">
        <v>282.8</v>
      </c>
      <c r="I151" s="6" cm="1">
        <f t="array" ref="I151">st60_Temp(A151)</f>
        <v>312</v>
      </c>
      <c r="J151" s="6" cm="1">
        <f t="array" ref="J151">st60_Temp(B151)</f>
        <v>312</v>
      </c>
      <c r="K151" s="6">
        <f t="shared" si="94"/>
        <v>312</v>
      </c>
      <c r="M151">
        <f t="shared" si="89"/>
        <v>3.4610579247800646E-8</v>
      </c>
      <c r="N151">
        <f t="shared" si="90"/>
        <v>7.0026683953935303E-4</v>
      </c>
      <c r="O151">
        <f t="shared" si="91"/>
        <v>3.3270246583083812E-14</v>
      </c>
      <c r="P151">
        <f t="shared" si="92"/>
        <v>5.8958181471185445E-4</v>
      </c>
      <c r="Q151">
        <f t="shared" si="93"/>
        <v>4.0498604934535597E-10</v>
      </c>
    </row>
    <row r="152" spans="1:17" x14ac:dyDescent="0.25">
      <c r="A152">
        <v>474.56</v>
      </c>
      <c r="B152">
        <v>484.23</v>
      </c>
      <c r="C152" s="5">
        <v>156.31</v>
      </c>
      <c r="D152" s="5">
        <v>362.57</v>
      </c>
      <c r="E152" s="5">
        <v>186.92</v>
      </c>
      <c r="F152" s="5">
        <v>551.9</v>
      </c>
      <c r="G152" s="5">
        <v>282.8</v>
      </c>
      <c r="I152" s="6" cm="1">
        <f t="array" ref="I152">st60_Temp(A152)</f>
        <v>313</v>
      </c>
      <c r="J152" s="6" cm="1">
        <f t="array" ref="J152">st60_Temp(B152)</f>
        <v>312</v>
      </c>
      <c r="K152" s="6">
        <f t="shared" si="94"/>
        <v>312.5</v>
      </c>
      <c r="M152">
        <f t="shared" si="89"/>
        <v>3.4820584668333696E-8</v>
      </c>
      <c r="N152">
        <f t="shared" si="90"/>
        <v>7.1095904997458366E-4</v>
      </c>
      <c r="O152">
        <f t="shared" si="91"/>
        <v>3.3413252156189689E-14</v>
      </c>
      <c r="P152">
        <f t="shared" si="92"/>
        <v>5.861513583115171E-4</v>
      </c>
      <c r="Q152">
        <f t="shared" si="93"/>
        <v>4.0509914767180924E-10</v>
      </c>
    </row>
    <row r="153" spans="1:17" x14ac:dyDescent="0.25">
      <c r="A153">
        <v>469.72</v>
      </c>
      <c r="B153">
        <v>478.59</v>
      </c>
      <c r="C153" s="5">
        <v>155.5</v>
      </c>
      <c r="D153" s="5">
        <v>360.15</v>
      </c>
      <c r="E153" s="5">
        <v>185.31</v>
      </c>
      <c r="F153" s="5">
        <v>552.71</v>
      </c>
      <c r="G153" s="5">
        <v>282.8</v>
      </c>
      <c r="I153" s="6" cm="1">
        <f t="array" ref="I153">st60_Temp(A153)</f>
        <v>313</v>
      </c>
      <c r="J153" s="6" cm="1">
        <f t="array" ref="J153">st60_Temp(B153)</f>
        <v>312</v>
      </c>
      <c r="K153" s="6">
        <f t="shared" si="94"/>
        <v>312.5</v>
      </c>
      <c r="M153">
        <f t="shared" si="89"/>
        <v>3.4640144046611797E-8</v>
      </c>
      <c r="N153">
        <f t="shared" si="90"/>
        <v>7.0621370176337345E-4</v>
      </c>
      <c r="O153">
        <f t="shared" si="91"/>
        <v>3.3125453440314104E-14</v>
      </c>
      <c r="P153">
        <f t="shared" si="92"/>
        <v>5.8701162756361416E-4</v>
      </c>
      <c r="Q153">
        <f t="shared" si="93"/>
        <v>4.0509914767180924E-10</v>
      </c>
    </row>
    <row r="154" spans="1:17" x14ac:dyDescent="0.25">
      <c r="A154">
        <v>464.08</v>
      </c>
      <c r="B154">
        <v>473.75</v>
      </c>
      <c r="C154" s="5">
        <v>157.91999999999999</v>
      </c>
      <c r="D154" s="5">
        <v>357.73</v>
      </c>
      <c r="E154" s="5">
        <v>186.92</v>
      </c>
      <c r="F154" s="5">
        <v>550.29</v>
      </c>
      <c r="G154" s="5">
        <v>283.61</v>
      </c>
      <c r="I154" s="6" cm="1">
        <f t="array" ref="I154">st60_Temp(A154)</f>
        <v>313</v>
      </c>
      <c r="J154" s="6" cm="1">
        <f t="array" ref="J154">st60_Temp(B154)</f>
        <v>313</v>
      </c>
      <c r="K154" s="6">
        <f t="shared" si="94"/>
        <v>313</v>
      </c>
      <c r="M154">
        <f t="shared" si="89"/>
        <v>3.5179238249780927E-8</v>
      </c>
      <c r="N154">
        <f t="shared" si="90"/>
        <v>7.0146835355216325E-4</v>
      </c>
      <c r="O154">
        <f t="shared" si="91"/>
        <v>3.3421669791474061E-14</v>
      </c>
      <c r="P154">
        <f t="shared" si="92"/>
        <v>5.8540101923685488E-4</v>
      </c>
      <c r="Q154">
        <f t="shared" si="93"/>
        <v>4.0637350602331901E-10</v>
      </c>
    </row>
    <row r="155" spans="1:17" x14ac:dyDescent="0.25">
      <c r="A155">
        <v>457.64</v>
      </c>
      <c r="B155">
        <v>468.92</v>
      </c>
      <c r="C155" s="5">
        <v>155.5</v>
      </c>
      <c r="D155" s="5">
        <v>356.93</v>
      </c>
      <c r="E155" s="5">
        <v>189.34</v>
      </c>
      <c r="F155" s="5">
        <v>554.32000000000005</v>
      </c>
      <c r="G155" s="5">
        <v>283.61</v>
      </c>
      <c r="I155" s="6" cm="1">
        <f t="array" ref="I155">st60_Temp(A155)</f>
        <v>314</v>
      </c>
      <c r="J155" s="6" cm="1">
        <f t="array" ref="J155">st60_Temp(B155)</f>
        <v>313</v>
      </c>
      <c r="K155" s="6">
        <f t="shared" si="94"/>
        <v>313.5</v>
      </c>
      <c r="M155">
        <f t="shared" si="89"/>
        <v>3.4669989900591726E-8</v>
      </c>
      <c r="N155">
        <f t="shared" si="90"/>
        <v>7.011066558134726E-4</v>
      </c>
      <c r="O155">
        <f t="shared" si="91"/>
        <v>3.385437063084581E-14</v>
      </c>
      <c r="P155">
        <f t="shared" si="92"/>
        <v>5.8968815167161569E-4</v>
      </c>
      <c r="Q155">
        <f t="shared" si="93"/>
        <v>4.064882214359434E-10</v>
      </c>
    </row>
    <row r="156" spans="1:17" x14ac:dyDescent="0.25">
      <c r="A156">
        <v>455.22</v>
      </c>
      <c r="B156">
        <v>464.08</v>
      </c>
      <c r="C156" s="5">
        <v>155.5</v>
      </c>
      <c r="D156" s="5">
        <v>359.34</v>
      </c>
      <c r="E156" s="5">
        <v>186.12</v>
      </c>
      <c r="F156" s="5">
        <v>551.9</v>
      </c>
      <c r="G156" s="5">
        <v>283.61</v>
      </c>
      <c r="I156" s="6" cm="1">
        <f t="array" ref="I156">st60_Temp(A156)</f>
        <v>314</v>
      </c>
      <c r="J156" s="6" cm="1">
        <f t="array" ref="J156">st60_Temp(B156)</f>
        <v>313</v>
      </c>
      <c r="K156" s="6">
        <f t="shared" si="94"/>
        <v>313.5</v>
      </c>
      <c r="M156">
        <f t="shared" si="89"/>
        <v>3.4669989900591726E-8</v>
      </c>
      <c r="N156">
        <f t="shared" si="90"/>
        <v>7.058405449248122E-4</v>
      </c>
      <c r="O156">
        <f t="shared" si="91"/>
        <v>3.3278628191681745E-14</v>
      </c>
      <c r="P156">
        <f t="shared" si="92"/>
        <v>5.8711374460161041E-4</v>
      </c>
      <c r="Q156">
        <f t="shared" si="93"/>
        <v>4.064882214359434E-10</v>
      </c>
    </row>
    <row r="157" spans="1:17" x14ac:dyDescent="0.25">
      <c r="A157">
        <v>448.77</v>
      </c>
      <c r="B157">
        <v>459.25</v>
      </c>
      <c r="C157" s="5">
        <v>153.08000000000001</v>
      </c>
      <c r="D157" s="5">
        <v>356.12</v>
      </c>
      <c r="E157" s="5">
        <v>186.92</v>
      </c>
      <c r="F157" s="5">
        <v>551.9</v>
      </c>
      <c r="G157" s="5">
        <v>284.41000000000003</v>
      </c>
      <c r="I157" s="6" cm="1">
        <f t="array" ref="I157">st60_Temp(A157)</f>
        <v>314</v>
      </c>
      <c r="J157" s="6" cm="1">
        <f t="array" ref="J157">st60_Temp(B157)</f>
        <v>313</v>
      </c>
      <c r="K157" s="6">
        <f t="shared" si="94"/>
        <v>313.5</v>
      </c>
      <c r="M157">
        <f t="shared" si="89"/>
        <v>3.4130431215322065E-8</v>
      </c>
      <c r="N157">
        <f t="shared" si="90"/>
        <v>6.9951559764742065E-4</v>
      </c>
      <c r="O157">
        <f t="shared" si="91"/>
        <v>3.3421669791474061E-14</v>
      </c>
      <c r="P157">
        <f t="shared" si="92"/>
        <v>5.8711374460161041E-4</v>
      </c>
      <c r="Q157">
        <f t="shared" si="93"/>
        <v>4.0763483325198926E-10</v>
      </c>
    </row>
    <row r="158" spans="1:17" x14ac:dyDescent="0.25">
      <c r="A158">
        <v>440.72</v>
      </c>
      <c r="B158">
        <v>455.22</v>
      </c>
      <c r="C158" s="5">
        <v>152.28</v>
      </c>
      <c r="D158" s="5">
        <v>350.48</v>
      </c>
      <c r="E158" s="5">
        <v>186.92</v>
      </c>
      <c r="F158" s="5">
        <v>549.49</v>
      </c>
      <c r="G158" s="5">
        <v>286.02</v>
      </c>
      <c r="I158" s="6" cm="1">
        <f t="array" ref="I158">st60_Temp(A158)</f>
        <v>315</v>
      </c>
      <c r="J158" s="6" cm="1">
        <f t="array" ref="J158">st60_Temp(B158)</f>
        <v>314</v>
      </c>
      <c r="K158" s="6">
        <f t="shared" si="94"/>
        <v>314.5</v>
      </c>
      <c r="M158">
        <f t="shared" si="89"/>
        <v>3.3981570092547172E-8</v>
      </c>
      <c r="N158">
        <f t="shared" si="90"/>
        <v>6.8963041978651175E-4</v>
      </c>
      <c r="O158">
        <f t="shared" si="91"/>
        <v>3.3430215584044728E-14</v>
      </c>
      <c r="P158">
        <f t="shared" si="92"/>
        <v>5.8551484046703568E-4</v>
      </c>
      <c r="Q158">
        <f t="shared" si="93"/>
        <v>4.101757433243353E-10</v>
      </c>
    </row>
    <row r="159" spans="1:17" x14ac:dyDescent="0.25">
      <c r="A159">
        <v>439.91</v>
      </c>
      <c r="B159">
        <v>450.39</v>
      </c>
      <c r="C159" s="5">
        <v>153.08000000000001</v>
      </c>
      <c r="D159" s="5">
        <v>350.48</v>
      </c>
      <c r="E159" s="5">
        <v>186.12</v>
      </c>
      <c r="F159" s="5">
        <v>548.67999999999995</v>
      </c>
      <c r="G159" s="5">
        <v>285.22000000000003</v>
      </c>
      <c r="I159" s="6" cm="1">
        <f t="array" ref="I159">st60_Temp(A159)</f>
        <v>315</v>
      </c>
      <c r="J159" s="6" cm="1">
        <f t="array" ref="J159">st60_Temp(B159)</f>
        <v>314</v>
      </c>
      <c r="K159" s="6">
        <f t="shared" si="94"/>
        <v>314.5</v>
      </c>
      <c r="M159">
        <f t="shared" si="89"/>
        <v>3.4160091606035737E-8</v>
      </c>
      <c r="N159">
        <f t="shared" si="90"/>
        <v>6.8963041978651175E-4</v>
      </c>
      <c r="O159">
        <f t="shared" si="91"/>
        <v>3.3287137409064871E-14</v>
      </c>
      <c r="P159">
        <f t="shared" si="92"/>
        <v>5.8465173646008687E-4</v>
      </c>
      <c r="Q159">
        <f t="shared" si="93"/>
        <v>4.090284788160511E-10</v>
      </c>
    </row>
    <row r="160" spans="1:17" x14ac:dyDescent="0.25">
      <c r="A160">
        <v>433.47</v>
      </c>
      <c r="B160">
        <v>445.55</v>
      </c>
      <c r="C160" s="5">
        <v>151.47</v>
      </c>
      <c r="D160" s="5">
        <v>350.48</v>
      </c>
      <c r="E160" s="5">
        <v>188.53</v>
      </c>
      <c r="F160" s="5">
        <v>547.07000000000005</v>
      </c>
      <c r="G160" s="5">
        <v>281.99</v>
      </c>
      <c r="I160" s="6" cm="1">
        <f t="array" ref="I160">st60_Temp(A160)</f>
        <v>315</v>
      </c>
      <c r="J160" s="6" cm="1">
        <f t="array" ref="J160">st60_Temp(B160)</f>
        <v>314</v>
      </c>
      <c r="K160" s="6">
        <f t="shared" si="94"/>
        <v>314.5</v>
      </c>
      <c r="M160">
        <f t="shared" si="89"/>
        <v>3.3800817060140012E-8</v>
      </c>
      <c r="N160">
        <f t="shared" si="90"/>
        <v>6.8963041978651175E-4</v>
      </c>
      <c r="O160">
        <f t="shared" si="91"/>
        <v>3.3718160411191706E-14</v>
      </c>
      <c r="P160">
        <f t="shared" si="92"/>
        <v>5.8293618405121344E-4</v>
      </c>
      <c r="Q160">
        <f t="shared" si="93"/>
        <v>4.043963983638533E-10</v>
      </c>
    </row>
    <row r="161" spans="1:18" x14ac:dyDescent="0.25">
      <c r="A161">
        <v>426.22</v>
      </c>
      <c r="B161">
        <v>440.72</v>
      </c>
      <c r="C161" s="5">
        <v>153.88999999999999</v>
      </c>
      <c r="D161" s="5">
        <v>350.48</v>
      </c>
      <c r="E161" s="5">
        <v>186.12</v>
      </c>
      <c r="F161" s="5">
        <v>547.07000000000005</v>
      </c>
      <c r="G161" s="5">
        <v>282.8</v>
      </c>
      <c r="I161" s="6" cm="1">
        <f t="array" ref="I161">st60_Temp(A161)</f>
        <v>316</v>
      </c>
      <c r="J161" s="6" cm="1">
        <f t="array" ref="J161">st60_Temp(B161)</f>
        <v>315</v>
      </c>
      <c r="K161" s="6">
        <f t="shared" si="94"/>
        <v>315.5</v>
      </c>
      <c r="M161">
        <f t="shared" si="89"/>
        <v>3.4370944842342197E-8</v>
      </c>
      <c r="N161">
        <f t="shared" si="90"/>
        <v>6.9083188517382729E-4</v>
      </c>
      <c r="O161">
        <f t="shared" si="91"/>
        <v>3.32957758418517E-14</v>
      </c>
      <c r="P161">
        <f t="shared" si="92"/>
        <v>5.8390350328085502E-4</v>
      </c>
      <c r="Q161">
        <f t="shared" si="93"/>
        <v>4.0579135265673395E-10</v>
      </c>
    </row>
    <row r="162" spans="1:18" x14ac:dyDescent="0.25">
      <c r="A162">
        <v>424.6</v>
      </c>
      <c r="B162">
        <v>438.3</v>
      </c>
      <c r="C162" s="5">
        <v>152.28</v>
      </c>
      <c r="D162" s="5">
        <v>347.26</v>
      </c>
      <c r="E162" s="5">
        <v>186.92</v>
      </c>
      <c r="F162" s="5">
        <v>546.26</v>
      </c>
      <c r="G162" s="5">
        <v>284.41000000000003</v>
      </c>
      <c r="I162" s="6" cm="1">
        <f t="array" ref="I162">st60_Temp(A162)</f>
        <v>316</v>
      </c>
      <c r="J162" s="6" cm="1">
        <f t="array" ref="J162">st60_Temp(B162)</f>
        <v>315</v>
      </c>
      <c r="K162" s="6">
        <f t="shared" si="94"/>
        <v>315.5</v>
      </c>
      <c r="M162">
        <f t="shared" si="89"/>
        <v>3.4011355387561702E-8</v>
      </c>
      <c r="N162">
        <f t="shared" si="90"/>
        <v>6.8448493621736824E-4</v>
      </c>
      <c r="O162">
        <f t="shared" si="91"/>
        <v>3.3438891147425959E-14</v>
      </c>
      <c r="P162">
        <f t="shared" si="92"/>
        <v>5.8303896704662986E-4</v>
      </c>
      <c r="Q162">
        <f t="shared" si="93"/>
        <v>4.0810155095156189E-10</v>
      </c>
    </row>
    <row r="163" spans="1:18" x14ac:dyDescent="0.25">
      <c r="A163">
        <v>418.16</v>
      </c>
      <c r="B163">
        <v>435.88</v>
      </c>
      <c r="C163" s="5">
        <v>149.86000000000001</v>
      </c>
      <c r="D163" s="5">
        <v>343.23</v>
      </c>
      <c r="E163" s="5">
        <v>185.31</v>
      </c>
      <c r="F163" s="5">
        <v>547.07000000000005</v>
      </c>
      <c r="G163" s="5">
        <v>283.61</v>
      </c>
      <c r="I163" s="6" cm="1">
        <f t="array" ref="I163">st60_Temp(A163)</f>
        <v>316</v>
      </c>
      <c r="J163" s="6" cm="1">
        <f t="array" ref="J163">st60_Temp(B163)</f>
        <v>315</v>
      </c>
      <c r="K163" s="6">
        <f t="shared" si="94"/>
        <v>315.5</v>
      </c>
      <c r="M163">
        <f t="shared" si="89"/>
        <v>3.347085446795375E-8</v>
      </c>
      <c r="N163">
        <f t="shared" si="90"/>
        <v>6.7654139451099268E-4</v>
      </c>
      <c r="O163">
        <f t="shared" si="91"/>
        <v>3.3150871594957762E-14</v>
      </c>
      <c r="P163">
        <f t="shared" si="92"/>
        <v>5.8390350328085502E-4</v>
      </c>
      <c r="Q163">
        <f t="shared" si="93"/>
        <v>4.0695362633301385E-10</v>
      </c>
    </row>
    <row r="164" spans="1:18" x14ac:dyDescent="0.25">
      <c r="A164">
        <v>414.94</v>
      </c>
      <c r="B164">
        <v>425.41</v>
      </c>
      <c r="C164" s="5">
        <v>148.25</v>
      </c>
      <c r="D164" s="5">
        <v>344.84</v>
      </c>
      <c r="E164" s="5">
        <v>187.73</v>
      </c>
      <c r="F164" s="5">
        <v>547.88</v>
      </c>
      <c r="G164" s="5">
        <v>282.8</v>
      </c>
      <c r="I164" s="6" cm="1">
        <f t="array" ref="I164">st60_Temp(A164)</f>
        <v>316</v>
      </c>
      <c r="J164" s="6" cm="1">
        <f t="array" ref="J164">st60_Temp(B164)</f>
        <v>316</v>
      </c>
      <c r="K164" s="6">
        <f t="shared" si="94"/>
        <v>316</v>
      </c>
      <c r="M164">
        <f t="shared" si="89"/>
        <v>3.3111265013173248E-8</v>
      </c>
      <c r="N164">
        <f t="shared" si="90"/>
        <v>6.7971486898922215E-4</v>
      </c>
      <c r="O164">
        <f t="shared" si="91"/>
        <v>3.3592640523908335E-14</v>
      </c>
      <c r="P164">
        <f t="shared" si="92"/>
        <v>5.8574355728241803E-4</v>
      </c>
      <c r="Q164">
        <f t="shared" si="93"/>
        <v>4.0590901833638555E-10</v>
      </c>
    </row>
    <row r="165" spans="1:18" x14ac:dyDescent="0.25">
      <c r="C165" s="11">
        <f>AVERAGE(C145:C164)</f>
        <v>154.3725</v>
      </c>
      <c r="D165" s="11">
        <f t="shared" ref="D165:G165" si="95">AVERAGE(D145:D164)</f>
        <v>355.35549999999995</v>
      </c>
      <c r="E165" s="11">
        <f t="shared" si="95"/>
        <v>186.84200000000001</v>
      </c>
      <c r="F165" s="11">
        <f t="shared" si="95"/>
        <v>551.21949999999993</v>
      </c>
      <c r="G165" s="11">
        <f t="shared" si="95"/>
        <v>283.68650000000002</v>
      </c>
      <c r="H165" s="11">
        <f>H144</f>
        <v>673</v>
      </c>
      <c r="I165" s="11">
        <f>AVERAGE(I145:I164)</f>
        <v>313.35000000000002</v>
      </c>
      <c r="J165" s="11">
        <f t="shared" ref="J165:K165" si="96">AVERAGE(J145:J164)</f>
        <v>312.7</v>
      </c>
      <c r="K165" s="11">
        <f t="shared" si="96"/>
        <v>313.02499999999998</v>
      </c>
      <c r="M165" s="4">
        <f>AVERAGE(M145:M164)</f>
        <v>3.4399177766812498E-8</v>
      </c>
      <c r="N165" s="4">
        <f t="shared" ref="N165" si="97">AVERAGE(N145:N164)</f>
        <v>6.9721770470665184E-4</v>
      </c>
      <c r="O165" s="4">
        <f t="shared" ref="O165" si="98">AVERAGE(O145:O164)</f>
        <v>3.3405387739729118E-14</v>
      </c>
      <c r="P165" s="4">
        <f t="shared" ref="P165" si="99">AVERAGE(P145:P164)</f>
        <v>5.8610366827684807E-4</v>
      </c>
      <c r="Q165" s="4">
        <f t="shared" ref="Q165" si="100">AVERAGE(Q145:Q164)</f>
        <v>4.0649337802926238E-10</v>
      </c>
      <c r="R165" s="4" t="s">
        <v>18</v>
      </c>
    </row>
    <row r="166" spans="1:18" x14ac:dyDescent="0.25">
      <c r="C166" s="5"/>
      <c r="D166" s="5"/>
      <c r="E166" s="5"/>
      <c r="F166" s="5"/>
      <c r="G166" s="5"/>
      <c r="I166" s="6"/>
      <c r="J166" s="6"/>
      <c r="K166" s="6"/>
      <c r="M166" s="8">
        <f>STDEV(M145:M164)</f>
        <v>5.9881037751819963E-10</v>
      </c>
      <c r="N166" s="8">
        <f t="shared" ref="N166:Q166" si="101">STDEV(N145:N164)</f>
        <v>1.0261503634270046E-5</v>
      </c>
      <c r="O166" s="8">
        <f t="shared" si="101"/>
        <v>1.8042919182204471E-16</v>
      </c>
      <c r="P166" s="8">
        <f t="shared" si="101"/>
        <v>1.9255970772277114E-6</v>
      </c>
      <c r="Q166" s="8">
        <f t="shared" si="101"/>
        <v>1.5362443197273044E-12</v>
      </c>
      <c r="R166" s="8" t="s">
        <v>19</v>
      </c>
    </row>
    <row r="167" spans="1:18" x14ac:dyDescent="0.25">
      <c r="A167" t="s">
        <v>0</v>
      </c>
      <c r="B167" t="s">
        <v>1</v>
      </c>
      <c r="C167" s="5">
        <v>3.95</v>
      </c>
      <c r="D167" s="5">
        <v>10.95</v>
      </c>
      <c r="E167" s="5" t="s">
        <v>2</v>
      </c>
      <c r="F167" s="5" t="s">
        <v>3</v>
      </c>
      <c r="G167" s="5" t="s">
        <v>4</v>
      </c>
      <c r="H167" s="3">
        <f>273+450</f>
        <v>723</v>
      </c>
      <c r="I167" s="6"/>
      <c r="J167" s="6"/>
      <c r="K167" s="6"/>
      <c r="M167" s="7">
        <f>ABS(100*M166/M165)</f>
        <v>1.7407694497160846</v>
      </c>
      <c r="N167" s="7">
        <f t="shared" ref="N167" si="102">ABS(100*N166/N165)</f>
        <v>1.4717789816578859</v>
      </c>
      <c r="O167" s="7">
        <f t="shared" ref="O167" si="103">ABS(100*O166/O165)</f>
        <v>0.54012003461184133</v>
      </c>
      <c r="P167" s="7">
        <f t="shared" ref="P167" si="104">ABS(100*P166/P165)</f>
        <v>0.32854206200227176</v>
      </c>
      <c r="Q167" s="7">
        <f t="shared" ref="Q167" si="105">ABS(100*Q166/Q165)</f>
        <v>0.37792603834661098</v>
      </c>
      <c r="R167" s="7" t="s">
        <v>20</v>
      </c>
    </row>
    <row r="168" spans="1:18" x14ac:dyDescent="0.25">
      <c r="A168">
        <v>398.82</v>
      </c>
      <c r="B168">
        <v>413.32</v>
      </c>
      <c r="C168" s="5">
        <v>215.93</v>
      </c>
      <c r="D168" s="5">
        <v>441.52</v>
      </c>
      <c r="E168" s="5">
        <v>279.58</v>
      </c>
      <c r="F168" s="5">
        <v>672.76</v>
      </c>
      <c r="G168" s="5">
        <v>395.6</v>
      </c>
      <c r="I168" s="6" cm="1">
        <f t="array" ref="I168">st60_Temp(A168)</f>
        <v>318</v>
      </c>
      <c r="J168" s="6" cm="1">
        <f t="array" ref="J168">st60_Temp(B168)</f>
        <v>317</v>
      </c>
      <c r="K168" s="6">
        <f t="shared" ref="K168:K187" si="106">AVERAGE(I168:J168)</f>
        <v>317.5</v>
      </c>
      <c r="M168">
        <f t="shared" ref="M168:M187" si="107">C168/($H$167^MMpow-$I168^MMpow)</f>
        <v>3.7127380513076067E-8</v>
      </c>
      <c r="N168">
        <f t="shared" ref="N168:N187" si="108">D168/($H$167^MLpow-$I168^MLpow)</f>
        <v>7.2665608819292335E-4</v>
      </c>
      <c r="O168">
        <f t="shared" ref="O168:O187" si="109">E168/($H$167^MWpow-$J168^MWpow)</f>
        <v>3.3402016169339543E-14</v>
      </c>
      <c r="P168">
        <f t="shared" ref="P168:P187" si="110">F168/($H$167^LWpow-$J168^LWpow)</f>
        <v>5.9668649036165506E-4</v>
      </c>
      <c r="Q168">
        <f t="shared" ref="Q168:Q187" si="111">G168/($H$167^Wpow-$K168^Wpow)</f>
        <v>4.1594192192502644E-10</v>
      </c>
    </row>
    <row r="169" spans="1:18" x14ac:dyDescent="0.25">
      <c r="A169">
        <v>390.76</v>
      </c>
      <c r="B169">
        <v>406.88</v>
      </c>
      <c r="C169" s="5">
        <v>213.51</v>
      </c>
      <c r="D169" s="5">
        <v>439.91</v>
      </c>
      <c r="E169" s="5">
        <v>279.58</v>
      </c>
      <c r="F169" s="5">
        <v>671.95</v>
      </c>
      <c r="G169" s="5">
        <v>397.21</v>
      </c>
      <c r="I169" s="6" cm="1">
        <f t="array" ref="I169">st60_Temp(A169)</f>
        <v>318</v>
      </c>
      <c r="J169" s="6" cm="1">
        <f t="array" ref="J169">st60_Temp(B169)</f>
        <v>317</v>
      </c>
      <c r="K169" s="6">
        <f t="shared" si="106"/>
        <v>317.5</v>
      </c>
      <c r="M169">
        <f t="shared" si="107"/>
        <v>3.6711281495609093E-8</v>
      </c>
      <c r="N169">
        <f t="shared" si="108"/>
        <v>7.2400634117808689E-4</v>
      </c>
      <c r="O169">
        <f t="shared" si="109"/>
        <v>3.3402016169339543E-14</v>
      </c>
      <c r="P169">
        <f t="shared" si="110"/>
        <v>5.9596808252350636E-4</v>
      </c>
      <c r="Q169">
        <f t="shared" si="111"/>
        <v>4.1763470881658173E-10</v>
      </c>
    </row>
    <row r="170" spans="1:18" x14ac:dyDescent="0.25">
      <c r="A170">
        <v>385.93</v>
      </c>
      <c r="B170">
        <v>403.66</v>
      </c>
      <c r="C170" s="5">
        <v>210.29</v>
      </c>
      <c r="D170" s="5">
        <v>435.88</v>
      </c>
      <c r="E170" s="5">
        <v>278.77</v>
      </c>
      <c r="F170" s="5">
        <v>669.54</v>
      </c>
      <c r="G170" s="5">
        <v>396.4</v>
      </c>
      <c r="I170" s="6" cm="1">
        <f t="array" ref="I170">st60_Temp(A170)</f>
        <v>319</v>
      </c>
      <c r="J170" s="6" cm="1">
        <f t="array" ref="J170">st60_Temp(B170)</f>
        <v>317</v>
      </c>
      <c r="K170" s="6">
        <f t="shared" si="106"/>
        <v>318</v>
      </c>
      <c r="M170">
        <f t="shared" si="107"/>
        <v>3.6182610901755274E-8</v>
      </c>
      <c r="N170">
        <f t="shared" si="108"/>
        <v>7.1842929766087937E-4</v>
      </c>
      <c r="O170">
        <f t="shared" si="109"/>
        <v>3.3305243749648703E-14</v>
      </c>
      <c r="P170">
        <f t="shared" si="110"/>
        <v>5.9383059747419951E-4</v>
      </c>
      <c r="Q170">
        <f t="shared" si="111"/>
        <v>4.1687341028684217E-10</v>
      </c>
    </row>
    <row r="171" spans="1:18" x14ac:dyDescent="0.25">
      <c r="A171">
        <v>382.71</v>
      </c>
      <c r="B171">
        <v>398.02</v>
      </c>
      <c r="C171" s="5">
        <v>210.29</v>
      </c>
      <c r="D171" s="5">
        <v>431.86</v>
      </c>
      <c r="E171" s="5">
        <v>281.19</v>
      </c>
      <c r="F171" s="5">
        <v>672.76</v>
      </c>
      <c r="G171" s="5">
        <v>398.02</v>
      </c>
      <c r="I171" s="6" cm="1">
        <f t="array" ref="I171">st60_Temp(A171)</f>
        <v>319</v>
      </c>
      <c r="J171" s="6" cm="1">
        <f t="array" ref="J171">st60_Temp(B171)</f>
        <v>318</v>
      </c>
      <c r="K171" s="6">
        <f t="shared" si="106"/>
        <v>318.5</v>
      </c>
      <c r="M171">
        <f t="shared" si="107"/>
        <v>3.6182610901755274E-8</v>
      </c>
      <c r="N171">
        <f t="shared" si="108"/>
        <v>7.1180342407962602E-4</v>
      </c>
      <c r="O171">
        <f t="shared" si="109"/>
        <v>3.3600447903663724E-14</v>
      </c>
      <c r="P171">
        <f t="shared" si="110"/>
        <v>5.9751942381801337E-4</v>
      </c>
      <c r="Q171">
        <f t="shared" si="111"/>
        <v>4.186682983373501E-10</v>
      </c>
    </row>
    <row r="172" spans="1:18" x14ac:dyDescent="0.25">
      <c r="A172">
        <v>374.65</v>
      </c>
      <c r="B172">
        <v>393.18</v>
      </c>
      <c r="C172" s="5">
        <v>212.7</v>
      </c>
      <c r="D172" s="5">
        <v>434.27</v>
      </c>
      <c r="E172" s="5">
        <v>281.19</v>
      </c>
      <c r="F172" s="5">
        <v>675.18</v>
      </c>
      <c r="G172" s="5">
        <v>398.02</v>
      </c>
      <c r="I172" s="6" cm="1">
        <f t="array" ref="I172">st60_Temp(A172)</f>
        <v>319</v>
      </c>
      <c r="J172" s="6" cm="1">
        <f t="array" ref="J172">st60_Temp(B172)</f>
        <v>318</v>
      </c>
      <c r="K172" s="6">
        <f t="shared" si="106"/>
        <v>318.5</v>
      </c>
      <c r="M172">
        <f t="shared" si="107"/>
        <v>3.6597276802526735E-8</v>
      </c>
      <c r="N172">
        <f t="shared" si="108"/>
        <v>7.1577565177385991E-4</v>
      </c>
      <c r="O172">
        <f t="shared" si="109"/>
        <v>3.3600447903663724E-14</v>
      </c>
      <c r="P172">
        <f t="shared" si="110"/>
        <v>5.9966877426340191E-4</v>
      </c>
      <c r="Q172">
        <f t="shared" si="111"/>
        <v>4.186682983373501E-10</v>
      </c>
    </row>
    <row r="173" spans="1:18" x14ac:dyDescent="0.25">
      <c r="A173">
        <v>369.82</v>
      </c>
      <c r="B173">
        <v>387.54</v>
      </c>
      <c r="C173" s="5">
        <v>209.48</v>
      </c>
      <c r="D173" s="5">
        <v>433.47</v>
      </c>
      <c r="E173" s="5">
        <v>278.77</v>
      </c>
      <c r="F173" s="5">
        <v>670.34</v>
      </c>
      <c r="G173" s="5">
        <v>396.4</v>
      </c>
      <c r="I173" s="6" cm="1">
        <f t="array" ref="I173">st60_Temp(A173)</f>
        <v>320</v>
      </c>
      <c r="J173" s="6" cm="1">
        <f t="array" ref="J173">st60_Temp(B173)</f>
        <v>318</v>
      </c>
      <c r="K173" s="6">
        <f t="shared" si="106"/>
        <v>319</v>
      </c>
      <c r="M173">
        <f t="shared" si="107"/>
        <v>3.6068352132687488E-8</v>
      </c>
      <c r="N173">
        <f t="shared" si="108"/>
        <v>7.1551336977724515E-4</v>
      </c>
      <c r="O173">
        <f t="shared" si="109"/>
        <v>3.3311273025727566E-14</v>
      </c>
      <c r="P173">
        <f t="shared" si="110"/>
        <v>5.9537007337262494E-4</v>
      </c>
      <c r="Q173">
        <f t="shared" si="111"/>
        <v>4.1705559977116777E-10</v>
      </c>
    </row>
    <row r="174" spans="1:18" x14ac:dyDescent="0.25">
      <c r="A174">
        <v>365.79</v>
      </c>
      <c r="B174">
        <v>384.32</v>
      </c>
      <c r="C174" s="5">
        <v>207.87</v>
      </c>
      <c r="D174" s="5">
        <v>427.83</v>
      </c>
      <c r="E174" s="5">
        <v>281.19</v>
      </c>
      <c r="F174" s="5">
        <v>671.15</v>
      </c>
      <c r="G174" s="5">
        <v>398.02</v>
      </c>
      <c r="I174" s="6" cm="1">
        <f t="array" ref="I174">st60_Temp(A174)</f>
        <v>320</v>
      </c>
      <c r="J174" s="6" cm="1">
        <f t="array" ref="J174">st60_Temp(B174)</f>
        <v>319</v>
      </c>
      <c r="K174" s="6">
        <f t="shared" si="106"/>
        <v>319.5</v>
      </c>
      <c r="M174">
        <f t="shared" si="107"/>
        <v>3.5791141673771949E-8</v>
      </c>
      <c r="N174">
        <f t="shared" si="108"/>
        <v>7.0620362422266539E-4</v>
      </c>
      <c r="O174">
        <f t="shared" si="109"/>
        <v>3.3606619812270881E-14</v>
      </c>
      <c r="P174">
        <f t="shared" si="110"/>
        <v>5.9692575764897318E-4</v>
      </c>
      <c r="Q174">
        <f t="shared" si="111"/>
        <v>4.1885223188521215E-10</v>
      </c>
    </row>
    <row r="175" spans="1:18" x14ac:dyDescent="0.25">
      <c r="A175">
        <v>360.15</v>
      </c>
      <c r="B175">
        <v>377.87</v>
      </c>
      <c r="C175" s="5">
        <v>203.04</v>
      </c>
      <c r="D175" s="5">
        <v>424.6</v>
      </c>
      <c r="E175" s="5">
        <v>281.19</v>
      </c>
      <c r="F175" s="5">
        <v>667.93</v>
      </c>
      <c r="G175" s="5">
        <v>396.4</v>
      </c>
      <c r="I175" s="6" cm="1">
        <f t="array" ref="I175">st60_Temp(A175)</f>
        <v>321</v>
      </c>
      <c r="J175" s="6" cm="1">
        <f t="array" ref="J175">st60_Temp(B175)</f>
        <v>319</v>
      </c>
      <c r="K175" s="6">
        <f t="shared" si="106"/>
        <v>320</v>
      </c>
      <c r="M175">
        <f t="shared" si="107"/>
        <v>3.4984068040292999E-8</v>
      </c>
      <c r="N175">
        <f t="shared" si="108"/>
        <v>7.0191315678382309E-4</v>
      </c>
      <c r="O175">
        <f t="shared" si="109"/>
        <v>3.3606619812270881E-14</v>
      </c>
      <c r="P175">
        <f t="shared" si="110"/>
        <v>5.940618659114633E-4</v>
      </c>
      <c r="Q175">
        <f t="shared" si="111"/>
        <v>4.1723978452543379E-10</v>
      </c>
    </row>
    <row r="176" spans="1:18" x14ac:dyDescent="0.25">
      <c r="A176">
        <v>353.7</v>
      </c>
      <c r="B176">
        <v>373.04</v>
      </c>
      <c r="C176" s="5">
        <v>206.26</v>
      </c>
      <c r="D176" s="5">
        <v>425.41</v>
      </c>
      <c r="E176" s="5">
        <v>281.19</v>
      </c>
      <c r="F176" s="5">
        <v>670.34</v>
      </c>
      <c r="G176" s="5">
        <v>397.21</v>
      </c>
      <c r="I176" s="6" cm="1">
        <f t="array" ref="I176">st60_Temp(A176)</f>
        <v>321</v>
      </c>
      <c r="J176" s="6" cm="1">
        <f t="array" ref="J176">st60_Temp(B176)</f>
        <v>320</v>
      </c>
      <c r="K176" s="6">
        <f t="shared" si="106"/>
        <v>320.5</v>
      </c>
      <c r="M176">
        <f t="shared" si="107"/>
        <v>3.5538878418000561E-8</v>
      </c>
      <c r="N176">
        <f t="shared" si="108"/>
        <v>7.032521809406646E-4</v>
      </c>
      <c r="O176">
        <f t="shared" si="109"/>
        <v>3.3612883105099086E-14</v>
      </c>
      <c r="P176">
        <f t="shared" si="110"/>
        <v>5.9704596547638931E-4</v>
      </c>
      <c r="Q176">
        <f t="shared" si="111"/>
        <v>4.1818540420587966E-10</v>
      </c>
    </row>
    <row r="177" spans="1:18" x14ac:dyDescent="0.25">
      <c r="A177">
        <v>350.48</v>
      </c>
      <c r="B177">
        <v>368.2</v>
      </c>
      <c r="C177" s="5">
        <v>206.26</v>
      </c>
      <c r="D177" s="5">
        <v>431.05</v>
      </c>
      <c r="E177" s="5">
        <v>279.58</v>
      </c>
      <c r="F177" s="5">
        <v>668.73</v>
      </c>
      <c r="G177" s="5">
        <v>398.02</v>
      </c>
      <c r="I177" s="6" cm="1">
        <f t="array" ref="I177">st60_Temp(A177)</f>
        <v>321</v>
      </c>
      <c r="J177" s="6" cm="1">
        <f t="array" ref="J177">st60_Temp(B177)</f>
        <v>320</v>
      </c>
      <c r="K177" s="6">
        <f t="shared" si="106"/>
        <v>320.5</v>
      </c>
      <c r="M177">
        <f t="shared" si="107"/>
        <v>3.5538878418000561E-8</v>
      </c>
      <c r="N177">
        <f t="shared" si="108"/>
        <v>7.1257575655126458E-4</v>
      </c>
      <c r="O177">
        <f t="shared" si="109"/>
        <v>3.3420426965836633E-14</v>
      </c>
      <c r="P177">
        <f t="shared" si="110"/>
        <v>5.9561200061614367E-4</v>
      </c>
      <c r="Q177">
        <f t="shared" si="111"/>
        <v>4.1903817774483076E-10</v>
      </c>
    </row>
    <row r="178" spans="1:18" x14ac:dyDescent="0.25">
      <c r="A178">
        <v>344.84</v>
      </c>
      <c r="B178">
        <v>361.76</v>
      </c>
      <c r="C178" s="5">
        <v>204.65</v>
      </c>
      <c r="D178" s="5">
        <v>427.02</v>
      </c>
      <c r="E178" s="5">
        <v>281.99</v>
      </c>
      <c r="F178" s="5">
        <v>671.15</v>
      </c>
      <c r="G178" s="5">
        <v>394.79</v>
      </c>
      <c r="I178" s="6" cm="1">
        <f t="array" ref="I178">st60_Temp(A178)</f>
        <v>322</v>
      </c>
      <c r="J178" s="6" cm="1">
        <f t="array" ref="J178">st60_Temp(B178)</f>
        <v>320</v>
      </c>
      <c r="K178" s="6">
        <f t="shared" si="106"/>
        <v>321</v>
      </c>
      <c r="M178">
        <f t="shared" si="107"/>
        <v>3.5286448571825609E-8</v>
      </c>
      <c r="N178">
        <f t="shared" si="108"/>
        <v>7.0696738462310525E-4</v>
      </c>
      <c r="O178">
        <f t="shared" si="109"/>
        <v>3.3708513484856832E-14</v>
      </c>
      <c r="P178">
        <f t="shared" si="110"/>
        <v>5.9776740121353139E-4</v>
      </c>
      <c r="Q178">
        <f t="shared" si="111"/>
        <v>4.1573058412878964E-10</v>
      </c>
    </row>
    <row r="179" spans="1:18" x14ac:dyDescent="0.25">
      <c r="A179">
        <v>339.2</v>
      </c>
      <c r="B179">
        <v>357.73</v>
      </c>
      <c r="C179" s="5">
        <v>207.06</v>
      </c>
      <c r="D179" s="5">
        <v>424.6</v>
      </c>
      <c r="E179" s="5">
        <v>281.19</v>
      </c>
      <c r="F179" s="5">
        <v>668.73</v>
      </c>
      <c r="G179" s="5">
        <v>397.21</v>
      </c>
      <c r="I179" s="6" cm="1">
        <f t="array" ref="I179">st60_Temp(A179)</f>
        <v>322</v>
      </c>
      <c r="J179" s="6" cm="1">
        <f t="array" ref="J179">st60_Temp(B179)</f>
        <v>321</v>
      </c>
      <c r="K179" s="6">
        <f t="shared" si="106"/>
        <v>321.5</v>
      </c>
      <c r="M179">
        <f t="shared" si="107"/>
        <v>3.5701988963020822E-8</v>
      </c>
      <c r="N179">
        <f t="shared" si="108"/>
        <v>7.0296087188181011E-4</v>
      </c>
      <c r="O179">
        <f t="shared" si="109"/>
        <v>3.3619238884974201E-14</v>
      </c>
      <c r="P179">
        <f t="shared" si="110"/>
        <v>5.9645599680028659E-4</v>
      </c>
      <c r="Q179">
        <f t="shared" si="111"/>
        <v>4.1837299772353056E-10</v>
      </c>
    </row>
    <row r="180" spans="1:18" x14ac:dyDescent="0.25">
      <c r="A180">
        <v>335.98</v>
      </c>
      <c r="B180">
        <v>350.48</v>
      </c>
      <c r="C180" s="5">
        <v>200.62</v>
      </c>
      <c r="D180" s="5">
        <v>417.35</v>
      </c>
      <c r="E180" s="5">
        <v>279.58</v>
      </c>
      <c r="F180" s="5">
        <v>667.12</v>
      </c>
      <c r="G180" s="5">
        <v>393.99</v>
      </c>
      <c r="I180" s="6" cm="1">
        <f t="array" ref="I180">st60_Temp(A180)</f>
        <v>323</v>
      </c>
      <c r="J180" s="6" cm="1">
        <f t="array" ref="J180">st60_Temp(B180)</f>
        <v>321</v>
      </c>
      <c r="K180" s="6">
        <f t="shared" si="106"/>
        <v>322</v>
      </c>
      <c r="M180">
        <f t="shared" si="107"/>
        <v>3.4616285955795073E-8</v>
      </c>
      <c r="N180">
        <f t="shared" si="108"/>
        <v>6.919941853448067E-4</v>
      </c>
      <c r="O180">
        <f t="shared" si="109"/>
        <v>3.3426746354639521E-14</v>
      </c>
      <c r="P180">
        <f t="shared" si="110"/>
        <v>5.950199999781783E-4</v>
      </c>
      <c r="Q180">
        <f t="shared" si="111"/>
        <v>4.1507523455534089E-10</v>
      </c>
    </row>
    <row r="181" spans="1:18" x14ac:dyDescent="0.25">
      <c r="A181">
        <v>331.14</v>
      </c>
      <c r="B181">
        <v>348.06</v>
      </c>
      <c r="C181" s="5">
        <v>199.81</v>
      </c>
      <c r="D181" s="5">
        <v>418.96</v>
      </c>
      <c r="E181" s="5">
        <v>281.19</v>
      </c>
      <c r="F181" s="5">
        <v>665.51</v>
      </c>
      <c r="G181" s="5">
        <v>396.4</v>
      </c>
      <c r="I181" s="6" cm="1">
        <f t="array" ref="I181">st60_Temp(A181)</f>
        <v>323</v>
      </c>
      <c r="J181" s="6" cm="1">
        <f t="array" ref="J181">st60_Temp(B181)</f>
        <v>322</v>
      </c>
      <c r="K181" s="6">
        <f t="shared" si="106"/>
        <v>322.5</v>
      </c>
      <c r="M181">
        <f t="shared" si="107"/>
        <v>3.4476523262024793E-8</v>
      </c>
      <c r="N181">
        <f t="shared" si="108"/>
        <v>6.9466367291735995E-4</v>
      </c>
      <c r="O181">
        <f t="shared" si="109"/>
        <v>3.3625688265874989E-14</v>
      </c>
      <c r="P181">
        <f t="shared" si="110"/>
        <v>5.9442933381543075E-4</v>
      </c>
      <c r="Q181">
        <f t="shared" si="111"/>
        <v>4.1770909252640473E-10</v>
      </c>
    </row>
    <row r="182" spans="1:18" x14ac:dyDescent="0.25">
      <c r="A182">
        <v>324.7</v>
      </c>
      <c r="B182">
        <v>344.03</v>
      </c>
      <c r="C182" s="5">
        <v>204.65</v>
      </c>
      <c r="D182" s="5">
        <v>424.6</v>
      </c>
      <c r="E182" s="5">
        <v>281.99</v>
      </c>
      <c r="F182" s="5">
        <v>664.7</v>
      </c>
      <c r="G182" s="5">
        <v>397.21</v>
      </c>
      <c r="I182" s="6" cm="1">
        <f t="array" ref="I182">st60_Temp(A182)</f>
        <v>324</v>
      </c>
      <c r="J182" s="6" cm="1">
        <f t="array" ref="J182">st60_Temp(B182)</f>
        <v>322</v>
      </c>
      <c r="K182" s="6">
        <f t="shared" si="106"/>
        <v>323</v>
      </c>
      <c r="M182">
        <f t="shared" si="107"/>
        <v>3.5337074721015109E-8</v>
      </c>
      <c r="N182">
        <f t="shared" si="108"/>
        <v>7.0507609617111795E-4</v>
      </c>
      <c r="O182">
        <f t="shared" si="109"/>
        <v>3.3721355076973181E-14</v>
      </c>
      <c r="P182">
        <f t="shared" si="110"/>
        <v>5.9370584692509032E-4</v>
      </c>
      <c r="Q182">
        <f t="shared" si="111"/>
        <v>4.1865822632689178E-10</v>
      </c>
    </row>
    <row r="183" spans="1:18" x14ac:dyDescent="0.25">
      <c r="A183">
        <v>320.67</v>
      </c>
      <c r="B183">
        <v>340.81</v>
      </c>
      <c r="C183" s="5">
        <v>202.23</v>
      </c>
      <c r="D183" s="5">
        <v>420.58</v>
      </c>
      <c r="E183" s="5">
        <v>279.58</v>
      </c>
      <c r="F183" s="5">
        <v>665.51</v>
      </c>
      <c r="G183" s="5">
        <v>395.6</v>
      </c>
      <c r="I183" s="6" cm="1">
        <f t="array" ref="I183">st60_Temp(A183)</f>
        <v>324</v>
      </c>
      <c r="J183" s="6" cm="1">
        <f t="array" ref="J183">st60_Temp(B183)</f>
        <v>322</v>
      </c>
      <c r="K183" s="6">
        <f t="shared" si="106"/>
        <v>323</v>
      </c>
      <c r="M183">
        <f t="shared" si="107"/>
        <v>3.4919211438215904E-8</v>
      </c>
      <c r="N183">
        <f t="shared" si="108"/>
        <v>6.9840062300435411E-4</v>
      </c>
      <c r="O183">
        <f t="shared" si="109"/>
        <v>3.3433158808539882E-14</v>
      </c>
      <c r="P183">
        <f t="shared" si="110"/>
        <v>5.9442933381543075E-4</v>
      </c>
      <c r="Q183">
        <f t="shared" si="111"/>
        <v>4.1696129084091138E-10</v>
      </c>
    </row>
    <row r="184" spans="1:18" x14ac:dyDescent="0.25">
      <c r="A184">
        <v>315.02999999999997</v>
      </c>
      <c r="B184">
        <v>338.39</v>
      </c>
      <c r="C184" s="5">
        <v>199.01</v>
      </c>
      <c r="D184" s="5">
        <v>414.13</v>
      </c>
      <c r="E184" s="5">
        <v>281.19</v>
      </c>
      <c r="F184" s="5">
        <v>662.29</v>
      </c>
      <c r="G184" s="5">
        <v>396.4</v>
      </c>
      <c r="I184" s="6" cm="1">
        <f t="array" ref="I184">st60_Temp(A184)</f>
        <v>325</v>
      </c>
      <c r="J184" s="6" cm="1">
        <f t="array" ref="J184">st60_Temp(B184)</f>
        <v>322</v>
      </c>
      <c r="K184" s="6">
        <f t="shared" si="106"/>
        <v>323.5</v>
      </c>
      <c r="M184">
        <f t="shared" si="107"/>
        <v>3.4388158793901145E-8</v>
      </c>
      <c r="N184">
        <f t="shared" si="108"/>
        <v>6.8873125151047254E-4</v>
      </c>
      <c r="O184">
        <f t="shared" si="109"/>
        <v>3.3625688265874989E-14</v>
      </c>
      <c r="P184">
        <f t="shared" si="110"/>
        <v>5.9155325012790437E-4</v>
      </c>
      <c r="Q184">
        <f t="shared" si="111"/>
        <v>4.1790040146009563E-10</v>
      </c>
    </row>
    <row r="185" spans="1:18" x14ac:dyDescent="0.25">
      <c r="A185">
        <v>313.42</v>
      </c>
      <c r="B185">
        <v>330.34</v>
      </c>
      <c r="C185" s="5">
        <v>198.2</v>
      </c>
      <c r="D185" s="5">
        <v>412.52</v>
      </c>
      <c r="E185" s="5">
        <v>281.19</v>
      </c>
      <c r="F185" s="5">
        <v>664.7</v>
      </c>
      <c r="G185" s="5">
        <v>395.6</v>
      </c>
      <c r="I185" s="6" cm="1">
        <f t="array" ref="I185">st60_Temp(A185)</f>
        <v>325</v>
      </c>
      <c r="J185" s="6" cm="1">
        <f t="array" ref="J185">st60_Temp(B185)</f>
        <v>323</v>
      </c>
      <c r="K185" s="6">
        <f t="shared" si="106"/>
        <v>324</v>
      </c>
      <c r="M185">
        <f t="shared" si="107"/>
        <v>3.4248193924683219E-8</v>
      </c>
      <c r="N185">
        <f t="shared" si="108"/>
        <v>6.860536929782921E-4</v>
      </c>
      <c r="O185">
        <f t="shared" si="109"/>
        <v>3.3632232373049103E-14</v>
      </c>
      <c r="P185">
        <f t="shared" si="110"/>
        <v>5.9455557784746625E-4</v>
      </c>
      <c r="Q185">
        <f t="shared" si="111"/>
        <v>4.171532474641764E-10</v>
      </c>
    </row>
    <row r="186" spans="1:18" x14ac:dyDescent="0.25">
      <c r="A186">
        <v>306.97000000000003</v>
      </c>
      <c r="B186">
        <v>327.11</v>
      </c>
      <c r="C186" s="5">
        <v>199.01</v>
      </c>
      <c r="D186" s="5">
        <v>412.52</v>
      </c>
      <c r="E186" s="5">
        <v>278.77</v>
      </c>
      <c r="F186" s="5">
        <v>663.9</v>
      </c>
      <c r="G186" s="5">
        <v>395.6</v>
      </c>
      <c r="I186" s="6" cm="1">
        <f t="array" ref="I186">st60_Temp(A186)</f>
        <v>325</v>
      </c>
      <c r="J186" s="6" cm="1">
        <f t="array" ref="J186">st60_Temp(B186)</f>
        <v>323</v>
      </c>
      <c r="K186" s="6">
        <f t="shared" si="106"/>
        <v>324</v>
      </c>
      <c r="M186">
        <f t="shared" si="107"/>
        <v>3.4388158793901145E-8</v>
      </c>
      <c r="N186">
        <f t="shared" si="108"/>
        <v>6.860536929782921E-4</v>
      </c>
      <c r="O186">
        <f t="shared" si="109"/>
        <v>3.3342783949055436E-14</v>
      </c>
      <c r="P186">
        <f t="shared" si="110"/>
        <v>5.9384000019998922E-4</v>
      </c>
      <c r="Q186">
        <f t="shared" si="111"/>
        <v>4.171532474641764E-10</v>
      </c>
    </row>
    <row r="187" spans="1:18" x14ac:dyDescent="0.25">
      <c r="A187">
        <v>304.55</v>
      </c>
      <c r="B187">
        <v>325.5</v>
      </c>
      <c r="C187" s="5">
        <v>199.81</v>
      </c>
      <c r="D187" s="5">
        <v>415.74</v>
      </c>
      <c r="E187" s="5">
        <v>281.19</v>
      </c>
      <c r="F187" s="5">
        <v>666.31</v>
      </c>
      <c r="G187" s="5">
        <v>396.4</v>
      </c>
      <c r="I187" s="6" cm="1">
        <f t="array" ref="I187">st60_Temp(A187)</f>
        <v>326</v>
      </c>
      <c r="J187" s="6" cm="1">
        <f t="array" ref="J187">st60_Temp(B187)</f>
        <v>324</v>
      </c>
      <c r="K187" s="6">
        <f t="shared" si="106"/>
        <v>325</v>
      </c>
      <c r="M187">
        <f t="shared" si="107"/>
        <v>3.4551667616834281E-8</v>
      </c>
      <c r="N187">
        <f t="shared" si="108"/>
        <v>6.9246071517375767E-4</v>
      </c>
      <c r="O187">
        <f t="shared" si="109"/>
        <v>3.3638872343130724E-14</v>
      </c>
      <c r="P187">
        <f t="shared" si="110"/>
        <v>5.9685294700311767E-4</v>
      </c>
      <c r="Q187">
        <f t="shared" si="111"/>
        <v>4.1819126375635249E-10</v>
      </c>
    </row>
    <row r="188" spans="1:18" x14ac:dyDescent="0.25">
      <c r="C188" s="11">
        <f>AVERAGE(C168:C187)</f>
        <v>205.53400000000002</v>
      </c>
      <c r="D188" s="11">
        <f t="shared" ref="D188:G188" si="112">AVERAGE(D168:D187)</f>
        <v>425.69100000000009</v>
      </c>
      <c r="E188" s="11">
        <f t="shared" si="112"/>
        <v>280.50449999999995</v>
      </c>
      <c r="F188" s="11">
        <f t="shared" si="112"/>
        <v>668.53000000000009</v>
      </c>
      <c r="G188" s="11">
        <f t="shared" si="112"/>
        <v>396.52499999999998</v>
      </c>
      <c r="H188" s="11">
        <f>H167</f>
        <v>723</v>
      </c>
      <c r="I188" s="11">
        <f>AVERAGE(I168:I187)</f>
        <v>321.75</v>
      </c>
      <c r="J188" s="11">
        <f t="shared" ref="J188:K188" si="113">AVERAGE(J168:J187)</f>
        <v>320.14999999999998</v>
      </c>
      <c r="K188" s="11">
        <f t="shared" si="113"/>
        <v>320.95</v>
      </c>
      <c r="M188" s="4">
        <f>AVERAGE(M168:M187)</f>
        <v>3.5431809566934654E-8</v>
      </c>
      <c r="N188" s="4">
        <f t="shared" ref="N188" si="114">AVERAGE(N168:N187)</f>
        <v>7.0447455388722034E-4</v>
      </c>
      <c r="O188" s="4">
        <f t="shared" ref="O188" si="115">AVERAGE(O168:O187)</f>
        <v>3.3532113621191456E-14</v>
      </c>
      <c r="P188" s="4">
        <f t="shared" ref="P188" si="116">AVERAGE(P168:P187)</f>
        <v>5.9556493595963979E-4</v>
      </c>
      <c r="Q188" s="4">
        <f t="shared" ref="Q188" si="117">AVERAGE(Q168:Q187)</f>
        <v>4.175531711041174E-10</v>
      </c>
      <c r="R188" s="4" t="s">
        <v>18</v>
      </c>
    </row>
    <row r="189" spans="1:18" x14ac:dyDescent="0.25">
      <c r="C189" s="5"/>
      <c r="D189" s="5"/>
      <c r="E189" s="5"/>
      <c r="F189" s="5"/>
      <c r="G189" s="5"/>
      <c r="I189" s="6"/>
      <c r="J189" s="6"/>
      <c r="K189" s="6"/>
      <c r="M189" s="8">
        <f>STDEV(M168:M187)</f>
        <v>8.6001692224269677E-10</v>
      </c>
      <c r="N189" s="8">
        <f t="shared" ref="N189:Q189" si="118">STDEV(N168:N187)</f>
        <v>1.2175937910560895E-5</v>
      </c>
      <c r="O189" s="8">
        <f t="shared" si="118"/>
        <v>1.3450181433038455E-16</v>
      </c>
      <c r="P189" s="8">
        <f t="shared" si="118"/>
        <v>1.8518630785810421E-6</v>
      </c>
      <c r="Q189" s="8">
        <f t="shared" si="118"/>
        <v>1.094668264218204E-12</v>
      </c>
      <c r="R189" s="8" t="s">
        <v>19</v>
      </c>
    </row>
    <row r="190" spans="1:18" x14ac:dyDescent="0.25">
      <c r="A190" t="s">
        <v>0</v>
      </c>
      <c r="B190" t="s">
        <v>1</v>
      </c>
      <c r="C190" s="5">
        <v>3.95</v>
      </c>
      <c r="D190" s="5">
        <v>10.95</v>
      </c>
      <c r="E190" s="5" t="s">
        <v>2</v>
      </c>
      <c r="F190" s="5" t="s">
        <v>3</v>
      </c>
      <c r="G190" s="5" t="s">
        <v>4</v>
      </c>
      <c r="H190" s="3">
        <f>273+500</f>
        <v>773</v>
      </c>
      <c r="I190" s="6"/>
      <c r="J190" s="6"/>
      <c r="K190" s="6"/>
      <c r="M190" s="7">
        <f>ABS(100*M189/M188)</f>
        <v>2.4272452712809618</v>
      </c>
      <c r="N190" s="7">
        <f t="shared" ref="N190" si="119">ABS(100*N189/N188)</f>
        <v>1.7283715704669933</v>
      </c>
      <c r="O190" s="7">
        <f t="shared" ref="O190" si="120">ABS(100*O189/O188)</f>
        <v>0.40111343964128399</v>
      </c>
      <c r="P190" s="7">
        <f t="shared" ref="P190" si="121">ABS(100*P189/P188)</f>
        <v>0.31094226116537849</v>
      </c>
      <c r="Q190" s="7">
        <f t="shared" ref="Q190" si="122">ABS(100*Q189/Q188)</f>
        <v>0.26216260346523562</v>
      </c>
      <c r="R190" s="7" t="s">
        <v>20</v>
      </c>
    </row>
    <row r="191" spans="1:18" x14ac:dyDescent="0.25">
      <c r="A191">
        <v>352.09</v>
      </c>
      <c r="B191">
        <v>368.2</v>
      </c>
      <c r="C191" s="5">
        <v>269.91000000000003</v>
      </c>
      <c r="D191" s="5">
        <v>499.53</v>
      </c>
      <c r="E191" s="5">
        <v>390.76</v>
      </c>
      <c r="F191" s="5">
        <v>792</v>
      </c>
      <c r="G191" s="5">
        <v>507.59</v>
      </c>
      <c r="I191" s="6" cm="1">
        <f t="array" ref="I191">st60_Temp(A191)</f>
        <v>321</v>
      </c>
      <c r="J191" s="6" cm="1">
        <f t="array" ref="J191">st60_Temp(B191)</f>
        <v>320</v>
      </c>
      <c r="K191" s="6">
        <f t="shared" ref="K191:K210" si="123">AVERAGE(I191:J191)</f>
        <v>320.5</v>
      </c>
      <c r="M191">
        <f t="shared" ref="M191:M210" si="124">C191/($H$190^MMpow-$I191^MMpow)</f>
        <v>3.6493590815275906E-8</v>
      </c>
      <c r="N191">
        <f t="shared" ref="N191:N210" si="125">D191/($H$190^MLpow-$I191^MLpow)</f>
        <v>6.9894785554666726E-4</v>
      </c>
      <c r="O191">
        <f t="shared" ref="O191:O210" si="126">E191/($H$190^MWpow-$J191^MWpow)</f>
        <v>3.2076341892411688E-14</v>
      </c>
      <c r="P191">
        <f t="shared" ref="P191:P210" si="127">F191/($H$190^LWpow-$J191^LWpow)</f>
        <v>5.9440181433700705E-4</v>
      </c>
      <c r="Q191">
        <f t="shared" ref="Q191:Q210" si="128">G191/($H$190^Wpow-$K191^Wpow)</f>
        <v>4.0035642357025124E-10</v>
      </c>
    </row>
    <row r="192" spans="1:18" x14ac:dyDescent="0.25">
      <c r="A192">
        <v>347.26</v>
      </c>
      <c r="B192">
        <v>362.57</v>
      </c>
      <c r="C192" s="5">
        <v>258.63</v>
      </c>
      <c r="D192" s="5">
        <v>489.87</v>
      </c>
      <c r="E192" s="5">
        <v>390.76</v>
      </c>
      <c r="F192" s="5">
        <v>789.59</v>
      </c>
      <c r="G192" s="5">
        <v>507.59</v>
      </c>
      <c r="I192" s="6" cm="1">
        <f t="array" ref="I192">st60_Temp(A192)</f>
        <v>322</v>
      </c>
      <c r="J192" s="6" cm="1">
        <f t="array" ref="J192">st60_Temp(B192)</f>
        <v>320</v>
      </c>
      <c r="K192" s="6">
        <f t="shared" si="123"/>
        <v>321</v>
      </c>
      <c r="M192">
        <f t="shared" si="124"/>
        <v>3.4987893880649499E-8</v>
      </c>
      <c r="N192">
        <f t="shared" si="125"/>
        <v>6.8629725074109888E-4</v>
      </c>
      <c r="O192">
        <f t="shared" si="126"/>
        <v>3.2076341892411688E-14</v>
      </c>
      <c r="P192">
        <f t="shared" si="127"/>
        <v>5.9259309164439063E-4</v>
      </c>
      <c r="Q192">
        <f t="shared" si="128"/>
        <v>4.0042351190570643E-10</v>
      </c>
    </row>
    <row r="193" spans="1:17" x14ac:dyDescent="0.25">
      <c r="A193">
        <v>341.62</v>
      </c>
      <c r="B193">
        <v>356.93</v>
      </c>
      <c r="C193" s="5">
        <v>257.02</v>
      </c>
      <c r="D193" s="5">
        <v>485.84</v>
      </c>
      <c r="E193" s="5">
        <v>390.76</v>
      </c>
      <c r="F193" s="5">
        <v>786.36</v>
      </c>
      <c r="G193" s="5">
        <v>507.59</v>
      </c>
      <c r="I193" s="6" cm="1">
        <f t="array" ref="I193">st60_Temp(A193)</f>
        <v>322</v>
      </c>
      <c r="J193" s="6" cm="1">
        <f t="array" ref="J193">st60_Temp(B193)</f>
        <v>321</v>
      </c>
      <c r="K193" s="6">
        <f t="shared" si="123"/>
        <v>321.5</v>
      </c>
      <c r="M193">
        <f t="shared" si="124"/>
        <v>3.4770090419535758E-8</v>
      </c>
      <c r="N193">
        <f t="shared" si="125"/>
        <v>6.8065130810226278E-4</v>
      </c>
      <c r="O193">
        <f t="shared" si="126"/>
        <v>3.2080506662470852E-14</v>
      </c>
      <c r="P193">
        <f t="shared" si="127"/>
        <v>5.9087348194942948E-4</v>
      </c>
      <c r="Q193">
        <f t="shared" si="128"/>
        <v>4.0049095753509247E-10</v>
      </c>
    </row>
    <row r="194" spans="1:17" x14ac:dyDescent="0.25">
      <c r="A194">
        <v>335.17</v>
      </c>
      <c r="B194">
        <v>352.09</v>
      </c>
      <c r="C194" s="5">
        <v>254.6</v>
      </c>
      <c r="D194" s="5">
        <v>480.2</v>
      </c>
      <c r="E194" s="5">
        <v>389.96</v>
      </c>
      <c r="F194" s="5">
        <v>784.75</v>
      </c>
      <c r="G194" s="5">
        <v>507.59</v>
      </c>
      <c r="I194" s="6" cm="1">
        <f t="array" ref="I194">st60_Temp(A194)</f>
        <v>323</v>
      </c>
      <c r="J194" s="6" cm="1">
        <f t="array" ref="J194">st60_Temp(B194)</f>
        <v>321</v>
      </c>
      <c r="K194" s="6">
        <f t="shared" si="123"/>
        <v>322</v>
      </c>
      <c r="M194">
        <f t="shared" si="124"/>
        <v>3.4462004693045377E-8</v>
      </c>
      <c r="N194">
        <f t="shared" si="125"/>
        <v>6.7360341284804887E-4</v>
      </c>
      <c r="O194">
        <f t="shared" si="126"/>
        <v>3.2014828483204866E-14</v>
      </c>
      <c r="P194">
        <f t="shared" si="127"/>
        <v>5.8966372267131443E-4</v>
      </c>
      <c r="Q194">
        <f t="shared" si="128"/>
        <v>4.0055876195397687E-10</v>
      </c>
    </row>
    <row r="195" spans="1:17" x14ac:dyDescent="0.25">
      <c r="A195">
        <v>330.34</v>
      </c>
      <c r="B195">
        <v>343.23</v>
      </c>
      <c r="C195" s="5">
        <v>252.99</v>
      </c>
      <c r="D195" s="5">
        <v>480.2</v>
      </c>
      <c r="E195" s="5">
        <v>391.57</v>
      </c>
      <c r="F195" s="5">
        <v>786.36</v>
      </c>
      <c r="G195" s="5">
        <v>507.59</v>
      </c>
      <c r="I195" s="6" cm="1">
        <f t="array" ref="I195">st60_Temp(A195)</f>
        <v>323</v>
      </c>
      <c r="J195" s="6" cm="1">
        <f t="array" ref="J195">st60_Temp(B195)</f>
        <v>322</v>
      </c>
      <c r="K195" s="6">
        <f t="shared" si="123"/>
        <v>322.5</v>
      </c>
      <c r="M195">
        <f t="shared" si="124"/>
        <v>3.4244079211679305E-8</v>
      </c>
      <c r="N195">
        <f t="shared" si="125"/>
        <v>6.7360341284804887E-4</v>
      </c>
      <c r="O195">
        <f t="shared" si="126"/>
        <v>3.2151240178084698E-14</v>
      </c>
      <c r="P195">
        <f t="shared" si="127"/>
        <v>5.9158222201590685E-4</v>
      </c>
      <c r="Q195">
        <f t="shared" si="128"/>
        <v>4.0062692666364891E-10</v>
      </c>
    </row>
    <row r="196" spans="1:17" x14ac:dyDescent="0.25">
      <c r="A196">
        <v>326.31</v>
      </c>
      <c r="B196">
        <v>338.39</v>
      </c>
      <c r="C196" s="5">
        <v>252.99</v>
      </c>
      <c r="D196" s="5">
        <v>478.59</v>
      </c>
      <c r="E196" s="5">
        <v>391.57</v>
      </c>
      <c r="F196" s="5">
        <v>785.56</v>
      </c>
      <c r="G196" s="5">
        <v>505.98</v>
      </c>
      <c r="I196" s="6" cm="1">
        <f t="array" ref="I196">st60_Temp(A196)</f>
        <v>323</v>
      </c>
      <c r="J196" s="6" cm="1">
        <f t="array" ref="J196">st60_Temp(B196)</f>
        <v>322</v>
      </c>
      <c r="K196" s="6">
        <f t="shared" si="123"/>
        <v>322.5</v>
      </c>
      <c r="M196">
        <f t="shared" si="124"/>
        <v>3.4244079211679305E-8</v>
      </c>
      <c r="N196">
        <f t="shared" si="125"/>
        <v>6.7134497574957873E-4</v>
      </c>
      <c r="O196">
        <f t="shared" si="126"/>
        <v>3.2151240178084698E-14</v>
      </c>
      <c r="P196">
        <f t="shared" si="127"/>
        <v>5.9098037835954992E-4</v>
      </c>
      <c r="Q196">
        <f t="shared" si="128"/>
        <v>3.9935619762657479E-10</v>
      </c>
    </row>
    <row r="197" spans="1:17" x14ac:dyDescent="0.25">
      <c r="A197">
        <v>319.86</v>
      </c>
      <c r="B197">
        <v>335.98</v>
      </c>
      <c r="C197" s="5">
        <v>257.02</v>
      </c>
      <c r="D197" s="5">
        <v>484.23</v>
      </c>
      <c r="E197" s="5">
        <v>390.76</v>
      </c>
      <c r="F197" s="5">
        <v>786.36</v>
      </c>
      <c r="G197" s="5">
        <v>508.4</v>
      </c>
      <c r="I197" s="6" cm="1">
        <f t="array" ref="I197">st60_Temp(A197)</f>
        <v>324</v>
      </c>
      <c r="J197" s="6" cm="1">
        <f t="array" ref="J197">st60_Temp(B197)</f>
        <v>323</v>
      </c>
      <c r="K197" s="6">
        <f t="shared" si="123"/>
        <v>323.5</v>
      </c>
      <c r="M197">
        <f t="shared" si="124"/>
        <v>3.4809217844185623E-8</v>
      </c>
      <c r="N197">
        <f t="shared" si="125"/>
        <v>6.801223170049889E-4</v>
      </c>
      <c r="O197">
        <f t="shared" si="126"/>
        <v>3.2089019407298622E-14</v>
      </c>
      <c r="P197">
        <f t="shared" si="127"/>
        <v>5.9229519853988284E-4</v>
      </c>
      <c r="Q197">
        <f t="shared" si="128"/>
        <v>4.0140387315700124E-10</v>
      </c>
    </row>
    <row r="198" spans="1:17" x14ac:dyDescent="0.25">
      <c r="A198">
        <v>313.42</v>
      </c>
      <c r="B198">
        <v>330.34</v>
      </c>
      <c r="C198" s="5">
        <v>255.41</v>
      </c>
      <c r="D198" s="5">
        <v>477.78</v>
      </c>
      <c r="E198" s="5">
        <v>390.76</v>
      </c>
      <c r="F198" s="5">
        <v>784.75</v>
      </c>
      <c r="G198" s="5">
        <v>506.79</v>
      </c>
      <c r="I198" s="6" cm="1">
        <f t="array" ref="I198">st60_Temp(A198)</f>
        <v>325</v>
      </c>
      <c r="J198" s="6" cm="1">
        <f t="array" ref="J198">st60_Temp(B198)</f>
        <v>323</v>
      </c>
      <c r="K198" s="6">
        <f t="shared" si="123"/>
        <v>324</v>
      </c>
      <c r="M198">
        <f t="shared" si="124"/>
        <v>3.4610863327623646E-8</v>
      </c>
      <c r="N198">
        <f t="shared" si="125"/>
        <v>6.7192224819395815E-4</v>
      </c>
      <c r="O198">
        <f t="shared" si="126"/>
        <v>3.2089019407298622E-14</v>
      </c>
      <c r="P198">
        <f t="shared" si="127"/>
        <v>5.9108252842740355E-4</v>
      </c>
      <c r="Q198">
        <f t="shared" si="128"/>
        <v>4.0020185375268967E-10</v>
      </c>
    </row>
    <row r="199" spans="1:17" x14ac:dyDescent="0.25">
      <c r="A199">
        <v>311</v>
      </c>
      <c r="B199">
        <v>324.7</v>
      </c>
      <c r="C199" s="5">
        <v>248.16</v>
      </c>
      <c r="D199" s="5">
        <v>472.95</v>
      </c>
      <c r="E199" s="5">
        <v>389.15</v>
      </c>
      <c r="F199" s="5">
        <v>781.53</v>
      </c>
      <c r="G199" s="5">
        <v>506.79</v>
      </c>
      <c r="I199" s="6" cm="1">
        <f t="array" ref="I199">st60_Temp(A199)</f>
        <v>325</v>
      </c>
      <c r="J199" s="6" cm="1">
        <f t="array" ref="J199">st60_Temp(B199)</f>
        <v>324</v>
      </c>
      <c r="K199" s="6">
        <f t="shared" si="123"/>
        <v>324.5</v>
      </c>
      <c r="M199">
        <f t="shared" si="124"/>
        <v>3.3628408611186271E-8</v>
      </c>
      <c r="N199">
        <f t="shared" si="125"/>
        <v>6.6512961464132556E-4</v>
      </c>
      <c r="O199">
        <f t="shared" si="126"/>
        <v>3.1961138488917915E-14</v>
      </c>
      <c r="P199">
        <f t="shared" si="127"/>
        <v>5.8937002138529867E-4</v>
      </c>
      <c r="Q199">
        <f t="shared" si="128"/>
        <v>4.0027136502597299E-10</v>
      </c>
    </row>
    <row r="200" spans="1:17" x14ac:dyDescent="0.25">
      <c r="A200">
        <v>304.55</v>
      </c>
      <c r="B200">
        <v>321.47000000000003</v>
      </c>
      <c r="C200" s="5">
        <v>247.35</v>
      </c>
      <c r="D200" s="5">
        <v>468.92</v>
      </c>
      <c r="E200" s="5">
        <v>390.76</v>
      </c>
      <c r="F200" s="5">
        <v>783.95</v>
      </c>
      <c r="G200" s="5">
        <v>505.98</v>
      </c>
      <c r="I200" s="6" cm="1">
        <f t="array" ref="I200">st60_Temp(A200)</f>
        <v>326</v>
      </c>
      <c r="J200" s="6" cm="1">
        <f t="array" ref="J200">st60_Temp(B200)</f>
        <v>324</v>
      </c>
      <c r="K200" s="6">
        <f t="shared" si="123"/>
        <v>325</v>
      </c>
      <c r="M200">
        <f t="shared" si="124"/>
        <v>3.3537882056627555E-8</v>
      </c>
      <c r="N200">
        <f t="shared" si="125"/>
        <v>6.603102728930119E-4</v>
      </c>
      <c r="O200">
        <f t="shared" si="126"/>
        <v>3.2093368819040387E-14</v>
      </c>
      <c r="P200">
        <f t="shared" si="127"/>
        <v>5.9119499989124529E-4</v>
      </c>
      <c r="Q200">
        <f t="shared" si="128"/>
        <v>3.9970138013483827E-10</v>
      </c>
    </row>
    <row r="201" spans="1:17" x14ac:dyDescent="0.25">
      <c r="A201">
        <v>300.52999999999997</v>
      </c>
      <c r="B201">
        <v>315.02999999999997</v>
      </c>
      <c r="C201" s="5">
        <v>250.57</v>
      </c>
      <c r="D201" s="5">
        <v>468.92</v>
      </c>
      <c r="E201" s="5">
        <v>390.76</v>
      </c>
      <c r="F201" s="5">
        <v>784.75</v>
      </c>
      <c r="G201" s="5">
        <v>508.4</v>
      </c>
      <c r="I201" s="6" cm="1">
        <f t="array" ref="I201">st60_Temp(A201)</f>
        <v>326</v>
      </c>
      <c r="J201" s="6" cm="1">
        <f t="array" ref="J201">st60_Temp(B201)</f>
        <v>325</v>
      </c>
      <c r="K201" s="6">
        <f t="shared" si="123"/>
        <v>325.5</v>
      </c>
      <c r="M201">
        <f t="shared" si="124"/>
        <v>3.3974477893386561E-8</v>
      </c>
      <c r="N201">
        <f t="shared" si="125"/>
        <v>6.603102728930119E-4</v>
      </c>
      <c r="O201">
        <f t="shared" si="126"/>
        <v>3.2097781226344495E-14</v>
      </c>
      <c r="P201">
        <f t="shared" si="127"/>
        <v>5.9251834791368332E-4</v>
      </c>
      <c r="Q201">
        <f t="shared" si="128"/>
        <v>4.0168354157387552E-10</v>
      </c>
    </row>
    <row r="202" spans="1:17" x14ac:dyDescent="0.25">
      <c r="A202">
        <v>296.5</v>
      </c>
      <c r="B202">
        <v>310.19</v>
      </c>
      <c r="C202" s="5">
        <v>248.96</v>
      </c>
      <c r="D202" s="5">
        <v>469.72</v>
      </c>
      <c r="E202" s="5">
        <v>389.96</v>
      </c>
      <c r="F202" s="5">
        <v>785.56</v>
      </c>
      <c r="G202" s="5">
        <v>507.59</v>
      </c>
      <c r="I202" s="6" cm="1">
        <f t="array" ref="I202">st60_Temp(A202)</f>
        <v>326</v>
      </c>
      <c r="J202" s="6" cm="1">
        <f t="array" ref="J202">st60_Temp(B202)</f>
        <v>325</v>
      </c>
      <c r="K202" s="6">
        <f t="shared" si="123"/>
        <v>325.5</v>
      </c>
      <c r="M202">
        <f t="shared" si="124"/>
        <v>3.3756179975007061E-8</v>
      </c>
      <c r="N202">
        <f t="shared" si="125"/>
        <v>6.6143679387380703E-4</v>
      </c>
      <c r="O202">
        <f t="shared" si="126"/>
        <v>3.2032067680994214E-14</v>
      </c>
      <c r="P202">
        <f t="shared" si="127"/>
        <v>5.9312993104437459E-4</v>
      </c>
      <c r="Q202">
        <f t="shared" si="128"/>
        <v>4.0104356582903908E-10</v>
      </c>
    </row>
    <row r="203" spans="1:17" x14ac:dyDescent="0.25">
      <c r="A203">
        <v>292.47000000000003</v>
      </c>
      <c r="B203">
        <v>306.17</v>
      </c>
      <c r="C203" s="5">
        <v>243.32</v>
      </c>
      <c r="D203" s="5">
        <v>463.28</v>
      </c>
      <c r="E203" s="5">
        <v>389.96</v>
      </c>
      <c r="F203" s="5">
        <v>781.53</v>
      </c>
      <c r="G203" s="5">
        <v>507.59</v>
      </c>
      <c r="I203" s="6" cm="1">
        <f t="array" ref="I203">st60_Temp(A203)</f>
        <v>327</v>
      </c>
      <c r="J203" s="6" cm="1">
        <f t="array" ref="J203">st60_Temp(B203)</f>
        <v>325</v>
      </c>
      <c r="K203" s="6">
        <f t="shared" si="123"/>
        <v>326</v>
      </c>
      <c r="M203">
        <f t="shared" si="124"/>
        <v>3.301054649058182E-8</v>
      </c>
      <c r="N203">
        <f t="shared" si="125"/>
        <v>6.5321119853054552E-4</v>
      </c>
      <c r="O203">
        <f t="shared" si="126"/>
        <v>3.2032067680994214E-14</v>
      </c>
      <c r="P203">
        <f t="shared" si="127"/>
        <v>5.9008711620895933E-4</v>
      </c>
      <c r="Q203">
        <f t="shared" si="128"/>
        <v>4.011142950973626E-10</v>
      </c>
    </row>
    <row r="204" spans="1:17" x14ac:dyDescent="0.25">
      <c r="A204">
        <v>287.63</v>
      </c>
      <c r="B204">
        <v>303.75</v>
      </c>
      <c r="C204" s="5">
        <v>245.74</v>
      </c>
      <c r="D204" s="5">
        <v>464.08</v>
      </c>
      <c r="E204" s="5">
        <v>390.76</v>
      </c>
      <c r="F204" s="5">
        <v>781.53</v>
      </c>
      <c r="G204" s="5">
        <v>507.59</v>
      </c>
      <c r="I204" s="6" cm="1">
        <f t="array" ref="I204">st60_Temp(A204)</f>
        <v>327</v>
      </c>
      <c r="J204" s="6" cm="1">
        <f t="array" ref="J204">st60_Temp(B204)</f>
        <v>326</v>
      </c>
      <c r="K204" s="6">
        <f t="shared" si="123"/>
        <v>326.5</v>
      </c>
      <c r="M204">
        <f t="shared" si="124"/>
        <v>3.3338861148263916E-8</v>
      </c>
      <c r="N204">
        <f t="shared" si="125"/>
        <v>6.5433917504329039E-4</v>
      </c>
      <c r="O204">
        <f t="shared" si="126"/>
        <v>3.2102257364832108E-14</v>
      </c>
      <c r="P204">
        <f t="shared" si="127"/>
        <v>5.9080849863069388E-4</v>
      </c>
      <c r="Q204">
        <f t="shared" si="128"/>
        <v>4.0118539687644738E-10</v>
      </c>
    </row>
    <row r="205" spans="1:17" x14ac:dyDescent="0.25">
      <c r="A205">
        <v>282.8</v>
      </c>
      <c r="B205">
        <v>298.91000000000003</v>
      </c>
      <c r="C205" s="5">
        <v>249.77</v>
      </c>
      <c r="D205" s="5">
        <v>469.72</v>
      </c>
      <c r="E205" s="5">
        <v>389.96</v>
      </c>
      <c r="F205" s="5">
        <v>783.14</v>
      </c>
      <c r="G205" s="5">
        <v>507.59</v>
      </c>
      <c r="I205" s="6" cm="1">
        <f t="array" ref="I205">st60_Temp(A205)</f>
        <v>328</v>
      </c>
      <c r="J205" s="6" cm="1">
        <f t="array" ref="J205">st60_Temp(B205)</f>
        <v>326</v>
      </c>
      <c r="K205" s="6">
        <f t="shared" si="123"/>
        <v>327</v>
      </c>
      <c r="M205">
        <f t="shared" si="124"/>
        <v>3.3905361919810869E-8</v>
      </c>
      <c r="N205">
        <f t="shared" si="125"/>
        <v>6.6315100598029054E-4</v>
      </c>
      <c r="O205">
        <f t="shared" si="126"/>
        <v>3.2036534655517273E-14</v>
      </c>
      <c r="P205">
        <f t="shared" si="127"/>
        <v>5.9202560057533505E-4</v>
      </c>
      <c r="Q205">
        <f t="shared" si="128"/>
        <v>4.0125687272046601E-10</v>
      </c>
    </row>
    <row r="206" spans="1:17" x14ac:dyDescent="0.25">
      <c r="A206">
        <v>279.58</v>
      </c>
      <c r="B206">
        <v>291.66000000000003</v>
      </c>
      <c r="C206" s="5">
        <v>249.77</v>
      </c>
      <c r="D206" s="5">
        <v>467.31</v>
      </c>
      <c r="E206" s="5">
        <v>389.96</v>
      </c>
      <c r="F206" s="5">
        <v>784.75</v>
      </c>
      <c r="G206" s="5">
        <v>506.79</v>
      </c>
      <c r="I206" s="6" cm="1">
        <f t="array" ref="I206">st60_Temp(A206)</f>
        <v>328</v>
      </c>
      <c r="J206" s="6" cm="1">
        <f t="array" ref="J206">st60_Temp(B206)</f>
        <v>327</v>
      </c>
      <c r="K206" s="6">
        <f t="shared" si="123"/>
        <v>327.5</v>
      </c>
      <c r="M206">
        <f t="shared" si="124"/>
        <v>3.3905361919810869E-8</v>
      </c>
      <c r="N206">
        <f t="shared" si="125"/>
        <v>6.5974856638986962E-4</v>
      </c>
      <c r="O206">
        <f t="shared" si="126"/>
        <v>3.2041065971813828E-14</v>
      </c>
      <c r="P206">
        <f t="shared" si="127"/>
        <v>5.9397138869514681E-4</v>
      </c>
      <c r="Q206">
        <f t="shared" si="128"/>
        <v>4.006961999488958E-10</v>
      </c>
    </row>
    <row r="207" spans="1:17" x14ac:dyDescent="0.25">
      <c r="A207">
        <v>274.74</v>
      </c>
      <c r="B207">
        <v>291.66000000000003</v>
      </c>
      <c r="C207" s="5">
        <v>247.35</v>
      </c>
      <c r="D207" s="5">
        <v>464.89</v>
      </c>
      <c r="E207" s="5">
        <v>390.76</v>
      </c>
      <c r="F207" s="5">
        <v>783.14</v>
      </c>
      <c r="G207" s="5">
        <v>507.59</v>
      </c>
      <c r="I207" s="6" cm="1">
        <f t="array" ref="I207">st60_Temp(A207)</f>
        <v>329</v>
      </c>
      <c r="J207" s="6" cm="1">
        <f t="array" ref="J207">st60_Temp(B207)</f>
        <v>327</v>
      </c>
      <c r="K207" s="6">
        <f t="shared" si="123"/>
        <v>328</v>
      </c>
      <c r="M207">
        <f t="shared" si="124"/>
        <v>3.3596594518014794E-8</v>
      </c>
      <c r="N207">
        <f t="shared" si="125"/>
        <v>6.5718772638976122E-4</v>
      </c>
      <c r="O207">
        <f t="shared" si="126"/>
        <v>3.2106797977089886E-14</v>
      </c>
      <c r="P207">
        <f t="shared" si="127"/>
        <v>5.9275279177154166E-4</v>
      </c>
      <c r="Q207">
        <f t="shared" si="128"/>
        <v>4.0140095285019698E-10</v>
      </c>
    </row>
    <row r="208" spans="1:17" x14ac:dyDescent="0.25">
      <c r="A208">
        <v>269.10000000000002</v>
      </c>
      <c r="B208">
        <v>283.61</v>
      </c>
      <c r="C208" s="5">
        <v>246.54</v>
      </c>
      <c r="D208" s="5">
        <v>460.86</v>
      </c>
      <c r="E208" s="5">
        <v>391.57</v>
      </c>
      <c r="F208" s="5">
        <v>779.92</v>
      </c>
      <c r="G208" s="5">
        <v>507.59</v>
      </c>
      <c r="I208" s="6" cm="1">
        <f t="array" ref="I208">st60_Temp(A208)</f>
        <v>329</v>
      </c>
      <c r="J208" s="6" cm="1">
        <f t="array" ref="J208">st60_Temp(B208)</f>
        <v>328</v>
      </c>
      <c r="K208" s="6">
        <f t="shared" si="123"/>
        <v>328.5</v>
      </c>
      <c r="M208">
        <f t="shared" si="124"/>
        <v>3.3486575348580423E-8</v>
      </c>
      <c r="N208">
        <f t="shared" si="125"/>
        <v>6.5149075175629796E-4</v>
      </c>
      <c r="O208">
        <f t="shared" si="126"/>
        <v>3.2177967015436413E-14</v>
      </c>
      <c r="P208">
        <f t="shared" si="127"/>
        <v>5.9104413045724883E-4</v>
      </c>
      <c r="Q208">
        <f t="shared" si="128"/>
        <v>4.0147356027455474E-10</v>
      </c>
    </row>
    <row r="209" spans="1:18" x14ac:dyDescent="0.25">
      <c r="A209">
        <v>265.88</v>
      </c>
      <c r="B209">
        <v>280.38</v>
      </c>
      <c r="C209" s="5">
        <v>245.74</v>
      </c>
      <c r="D209" s="5">
        <v>460.86</v>
      </c>
      <c r="E209" s="5">
        <v>391.57</v>
      </c>
      <c r="F209" s="5">
        <v>780.72</v>
      </c>
      <c r="G209" s="5">
        <v>507.59</v>
      </c>
      <c r="I209" s="6" cm="1">
        <f t="array" ref="I209">st60_Temp(A209)</f>
        <v>330</v>
      </c>
      <c r="J209" s="6" cm="1">
        <f t="array" ref="J209">st60_Temp(B209)</f>
        <v>328</v>
      </c>
      <c r="K209" s="6">
        <f t="shared" si="123"/>
        <v>329</v>
      </c>
      <c r="M209">
        <f t="shared" si="124"/>
        <v>3.3397693070839037E-8</v>
      </c>
      <c r="N209">
        <f t="shared" si="125"/>
        <v>6.5234399881300528E-4</v>
      </c>
      <c r="O209">
        <f t="shared" si="126"/>
        <v>3.2177967015436413E-14</v>
      </c>
      <c r="P209">
        <f t="shared" si="127"/>
        <v>5.9165039174605507E-4</v>
      </c>
      <c r="Q209">
        <f t="shared" si="128"/>
        <v>4.0154654804120266E-10</v>
      </c>
    </row>
    <row r="210" spans="1:18" x14ac:dyDescent="0.25">
      <c r="A210">
        <v>261.05</v>
      </c>
      <c r="B210">
        <v>276.36</v>
      </c>
      <c r="C210" s="5">
        <v>248.16</v>
      </c>
      <c r="D210" s="5">
        <v>462.47</v>
      </c>
      <c r="E210" s="5">
        <v>391.57</v>
      </c>
      <c r="F210" s="5">
        <v>780.72</v>
      </c>
      <c r="G210" s="5">
        <v>505.98</v>
      </c>
      <c r="I210" s="6" cm="1">
        <f t="array" ref="I210">st60_Temp(A210)</f>
        <v>330</v>
      </c>
      <c r="J210" s="6" cm="1">
        <f t="array" ref="J210">st60_Temp(B210)</f>
        <v>328</v>
      </c>
      <c r="K210" s="6">
        <f t="shared" si="123"/>
        <v>329</v>
      </c>
      <c r="M210">
        <f t="shared" si="124"/>
        <v>3.3726587093918026E-8</v>
      </c>
      <c r="N210">
        <f t="shared" si="125"/>
        <v>6.5462294217560771E-4</v>
      </c>
      <c r="O210">
        <f t="shared" si="126"/>
        <v>3.2177967015436413E-14</v>
      </c>
      <c r="P210">
        <f t="shared" si="127"/>
        <v>5.9165039174605507E-4</v>
      </c>
      <c r="Q210">
        <f t="shared" si="128"/>
        <v>4.0027290210186909E-10</v>
      </c>
    </row>
    <row r="211" spans="1:18" x14ac:dyDescent="0.25">
      <c r="C211" s="11">
        <f>AVERAGE(C191:C210)</f>
        <v>251.5</v>
      </c>
      <c r="D211" s="11">
        <f t="shared" ref="D211:G211" si="129">AVERAGE(D191:D210)</f>
        <v>473.51100000000008</v>
      </c>
      <c r="E211" s="11">
        <f t="shared" si="129"/>
        <v>390.68200000000002</v>
      </c>
      <c r="F211" s="11">
        <f t="shared" si="129"/>
        <v>784.34849999999983</v>
      </c>
      <c r="G211" s="11">
        <f t="shared" si="129"/>
        <v>507.30949999999996</v>
      </c>
      <c r="H211" s="11">
        <f>H190</f>
        <v>773</v>
      </c>
      <c r="I211" s="11">
        <f>AVERAGE(I191:I210)</f>
        <v>325.7</v>
      </c>
      <c r="J211" s="11">
        <f t="shared" ref="J211:K211" si="130">AVERAGE(J191:J210)</f>
        <v>324.25</v>
      </c>
      <c r="K211" s="11">
        <f t="shared" si="130"/>
        <v>324.97500000000002</v>
      </c>
      <c r="M211" s="4">
        <f>AVERAGE(M191:M210)</f>
        <v>3.4094317472485075E-8</v>
      </c>
      <c r="N211" s="4">
        <f t="shared" ref="N211" si="131">AVERAGE(N191:N210)</f>
        <v>6.664887550207238E-4</v>
      </c>
      <c r="O211" s="4">
        <f t="shared" ref="O211" si="132">AVERAGE(O191:O210)</f>
        <v>3.2088275950655961E-14</v>
      </c>
      <c r="P211" s="4">
        <f t="shared" ref="P211" si="133">AVERAGE(P191:P210)</f>
        <v>5.9168380240052598E-4</v>
      </c>
      <c r="Q211" s="4">
        <f t="shared" ref="Q211" si="134">AVERAGE(Q191:Q210)</f>
        <v>4.0075325433198311E-10</v>
      </c>
      <c r="R211" s="4" t="s">
        <v>18</v>
      </c>
    </row>
    <row r="212" spans="1:18" x14ac:dyDescent="0.25">
      <c r="M212" s="8">
        <f>STDEV(M191:M210)</f>
        <v>7.8402724195387365E-10</v>
      </c>
      <c r="N212" s="8">
        <f t="shared" ref="N212:Q212" si="135">STDEV(N191:N210)</f>
        <v>1.2821196097497774E-5</v>
      </c>
      <c r="O212" s="8">
        <f t="shared" si="135"/>
        <v>5.8869499061934054E-17</v>
      </c>
      <c r="P212" s="8">
        <f t="shared" si="135"/>
        <v>1.3137341924677316E-6</v>
      </c>
      <c r="Q212" s="8">
        <f t="shared" si="135"/>
        <v>6.3778681589502533E-13</v>
      </c>
      <c r="R212" s="8" t="s">
        <v>19</v>
      </c>
    </row>
    <row r="213" spans="1:18" x14ac:dyDescent="0.25">
      <c r="M213" s="7">
        <f>ABS(100*M212/M211)</f>
        <v>2.2995833325791089</v>
      </c>
      <c r="N213" s="7">
        <f t="shared" ref="N213" si="136">ABS(100*N212/N211)</f>
        <v>1.9236927856493409</v>
      </c>
      <c r="O213" s="7">
        <f t="shared" ref="O213" si="137">ABS(100*O212/O211)</f>
        <v>0.18346108451716497</v>
      </c>
      <c r="P213" s="7">
        <f t="shared" ref="P213" si="138">ABS(100*P212/P211)</f>
        <v>0.22203315134498663</v>
      </c>
      <c r="Q213" s="7">
        <f t="shared" ref="Q213" si="139">ABS(100*Q212/Q211)</f>
        <v>0.15914700853974456</v>
      </c>
      <c r="R213" s="7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596E-3BAF-463A-855E-5642D49C0E5E}">
  <sheetPr codeName="Sheet2"/>
  <dimension ref="A1:B172"/>
  <sheetViews>
    <sheetView workbookViewId="0">
      <selection activeCell="C262" sqref="C262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>
        <v>-20</v>
      </c>
      <c r="B2">
        <v>270966</v>
      </c>
    </row>
    <row r="3" spans="1:2" x14ac:dyDescent="0.25">
      <c r="A3">
        <v>-19</v>
      </c>
      <c r="B3">
        <v>256359</v>
      </c>
    </row>
    <row r="4" spans="1:2" x14ac:dyDescent="0.25">
      <c r="A4">
        <v>-18</v>
      </c>
      <c r="B4">
        <v>242619</v>
      </c>
    </row>
    <row r="5" spans="1:2" x14ac:dyDescent="0.25">
      <c r="A5">
        <v>-17</v>
      </c>
      <c r="B5">
        <v>229621</v>
      </c>
    </row>
    <row r="6" spans="1:2" x14ac:dyDescent="0.25">
      <c r="A6">
        <v>-16</v>
      </c>
      <c r="B6">
        <v>217523</v>
      </c>
    </row>
    <row r="7" spans="1:2" x14ac:dyDescent="0.25">
      <c r="A7">
        <v>-15</v>
      </c>
      <c r="B7">
        <v>206067</v>
      </c>
    </row>
    <row r="8" spans="1:2" x14ac:dyDescent="0.25">
      <c r="A8">
        <v>-14</v>
      </c>
      <c r="B8">
        <v>195276</v>
      </c>
    </row>
    <row r="9" spans="1:2" x14ac:dyDescent="0.25">
      <c r="A9">
        <v>-13</v>
      </c>
      <c r="B9">
        <v>185109</v>
      </c>
    </row>
    <row r="10" spans="1:2" x14ac:dyDescent="0.25">
      <c r="A10">
        <v>-12</v>
      </c>
      <c r="B10">
        <v>175527</v>
      </c>
    </row>
    <row r="11" spans="1:2" x14ac:dyDescent="0.25">
      <c r="A11">
        <v>-11</v>
      </c>
      <c r="B11">
        <v>166494</v>
      </c>
    </row>
    <row r="12" spans="1:2" x14ac:dyDescent="0.25">
      <c r="A12">
        <v>-10</v>
      </c>
      <c r="B12">
        <v>157974</v>
      </c>
    </row>
    <row r="13" spans="1:2" x14ac:dyDescent="0.25">
      <c r="A13">
        <v>-9</v>
      </c>
      <c r="B13">
        <v>149936</v>
      </c>
    </row>
    <row r="14" spans="1:2" x14ac:dyDescent="0.25">
      <c r="A14">
        <v>-8</v>
      </c>
      <c r="B14">
        <v>142351</v>
      </c>
    </row>
    <row r="15" spans="1:2" x14ac:dyDescent="0.25">
      <c r="A15">
        <v>-7</v>
      </c>
      <c r="B15">
        <v>135190</v>
      </c>
    </row>
    <row r="16" spans="1:2" x14ac:dyDescent="0.25">
      <c r="A16">
        <v>-6</v>
      </c>
      <c r="B16">
        <v>128428</v>
      </c>
    </row>
    <row r="17" spans="1:2" x14ac:dyDescent="0.25">
      <c r="A17">
        <v>-5</v>
      </c>
      <c r="B17">
        <v>122041</v>
      </c>
    </row>
    <row r="18" spans="1:2" x14ac:dyDescent="0.25">
      <c r="A18">
        <v>-4</v>
      </c>
      <c r="B18">
        <v>116005</v>
      </c>
    </row>
    <row r="19" spans="1:2" x14ac:dyDescent="0.25">
      <c r="A19">
        <v>-3</v>
      </c>
      <c r="B19">
        <v>110301</v>
      </c>
    </row>
    <row r="20" spans="1:2" x14ac:dyDescent="0.25">
      <c r="A20">
        <v>-2</v>
      </c>
      <c r="B20">
        <v>104907</v>
      </c>
    </row>
    <row r="21" spans="1:2" x14ac:dyDescent="0.25">
      <c r="A21">
        <v>-1</v>
      </c>
      <c r="B21">
        <v>99806</v>
      </c>
    </row>
    <row r="22" spans="1:2" x14ac:dyDescent="0.25">
      <c r="A22">
        <v>0</v>
      </c>
      <c r="B22">
        <v>94980</v>
      </c>
    </row>
    <row r="23" spans="1:2" x14ac:dyDescent="0.25">
      <c r="A23">
        <v>1</v>
      </c>
      <c r="B23">
        <v>90413</v>
      </c>
    </row>
    <row r="24" spans="1:2" x14ac:dyDescent="0.25">
      <c r="A24">
        <v>2</v>
      </c>
      <c r="B24">
        <v>86090</v>
      </c>
    </row>
    <row r="25" spans="1:2" x14ac:dyDescent="0.25">
      <c r="A25">
        <v>3</v>
      </c>
      <c r="B25">
        <v>81996</v>
      </c>
    </row>
    <row r="26" spans="1:2" x14ac:dyDescent="0.25">
      <c r="A26">
        <v>4</v>
      </c>
      <c r="B26">
        <v>78119</v>
      </c>
    </row>
    <row r="27" spans="1:2" x14ac:dyDescent="0.25">
      <c r="A27">
        <v>5</v>
      </c>
      <c r="B27">
        <v>75445</v>
      </c>
    </row>
    <row r="28" spans="1:2" x14ac:dyDescent="0.25">
      <c r="A28">
        <v>6</v>
      </c>
      <c r="B28">
        <v>70964</v>
      </c>
    </row>
    <row r="29" spans="1:2" x14ac:dyDescent="0.25">
      <c r="A29">
        <v>7</v>
      </c>
      <c r="B29">
        <v>67663</v>
      </c>
    </row>
    <row r="30" spans="1:2" x14ac:dyDescent="0.25">
      <c r="A30">
        <v>8</v>
      </c>
      <c r="B30">
        <v>65534</v>
      </c>
    </row>
    <row r="31" spans="1:2" x14ac:dyDescent="0.25">
      <c r="A31">
        <v>9</v>
      </c>
      <c r="B31">
        <v>61565</v>
      </c>
    </row>
    <row r="32" spans="1:2" x14ac:dyDescent="0.25">
      <c r="A32">
        <v>10</v>
      </c>
      <c r="B32">
        <v>58749</v>
      </c>
    </row>
    <row r="33" spans="1:2" x14ac:dyDescent="0.25">
      <c r="A33">
        <v>11</v>
      </c>
      <c r="B33">
        <v>56076</v>
      </c>
    </row>
    <row r="34" spans="1:2" x14ac:dyDescent="0.25">
      <c r="A34">
        <v>12</v>
      </c>
      <c r="B34">
        <v>53538</v>
      </c>
    </row>
    <row r="35" spans="1:2" x14ac:dyDescent="0.25">
      <c r="A35">
        <v>13</v>
      </c>
      <c r="B35">
        <v>51129</v>
      </c>
    </row>
    <row r="36" spans="1:2" x14ac:dyDescent="0.25">
      <c r="A36">
        <v>14</v>
      </c>
      <c r="B36">
        <v>48841</v>
      </c>
    </row>
    <row r="37" spans="1:2" x14ac:dyDescent="0.25">
      <c r="A37">
        <v>15</v>
      </c>
      <c r="B37">
        <v>46667</v>
      </c>
    </row>
    <row r="38" spans="1:2" x14ac:dyDescent="0.25">
      <c r="A38">
        <v>16</v>
      </c>
      <c r="B38">
        <v>44600</v>
      </c>
    </row>
    <row r="39" spans="1:2" x14ac:dyDescent="0.25">
      <c r="A39">
        <v>17</v>
      </c>
      <c r="B39">
        <v>42636</v>
      </c>
    </row>
    <row r="40" spans="1:2" x14ac:dyDescent="0.25">
      <c r="A40">
        <v>18</v>
      </c>
      <c r="B40">
        <v>40769</v>
      </c>
    </row>
    <row r="41" spans="1:2" x14ac:dyDescent="0.25">
      <c r="A41">
        <v>19</v>
      </c>
      <c r="B41">
        <v>38993</v>
      </c>
    </row>
    <row r="42" spans="1:2" x14ac:dyDescent="0.25">
      <c r="A42">
        <v>20</v>
      </c>
      <c r="B42">
        <v>37303</v>
      </c>
    </row>
    <row r="43" spans="1:2" x14ac:dyDescent="0.25">
      <c r="A43">
        <v>21</v>
      </c>
      <c r="B43">
        <v>35696</v>
      </c>
    </row>
    <row r="44" spans="1:2" x14ac:dyDescent="0.25">
      <c r="A44">
        <v>22</v>
      </c>
      <c r="B44">
        <v>34165</v>
      </c>
    </row>
    <row r="45" spans="1:2" x14ac:dyDescent="0.25">
      <c r="A45">
        <v>23</v>
      </c>
      <c r="B45">
        <v>32709</v>
      </c>
    </row>
    <row r="46" spans="1:2" x14ac:dyDescent="0.25">
      <c r="A46">
        <v>24</v>
      </c>
      <c r="B46">
        <v>31321</v>
      </c>
    </row>
    <row r="47" spans="1:2" x14ac:dyDescent="0.25">
      <c r="A47">
        <v>25</v>
      </c>
      <c r="B47">
        <v>30000</v>
      </c>
    </row>
    <row r="48" spans="1:2" x14ac:dyDescent="0.25">
      <c r="A48">
        <v>26</v>
      </c>
      <c r="B48">
        <v>28741</v>
      </c>
    </row>
    <row r="49" spans="1:2" x14ac:dyDescent="0.25">
      <c r="A49">
        <v>27</v>
      </c>
      <c r="B49">
        <v>27541</v>
      </c>
    </row>
    <row r="50" spans="1:2" x14ac:dyDescent="0.25">
      <c r="A50">
        <v>28</v>
      </c>
      <c r="B50">
        <v>26398</v>
      </c>
    </row>
    <row r="51" spans="1:2" x14ac:dyDescent="0.25">
      <c r="A51">
        <v>29</v>
      </c>
      <c r="B51">
        <v>25307</v>
      </c>
    </row>
    <row r="52" spans="1:2" x14ac:dyDescent="0.25">
      <c r="A52">
        <v>30</v>
      </c>
      <c r="B52">
        <v>24268</v>
      </c>
    </row>
    <row r="53" spans="1:2" x14ac:dyDescent="0.25">
      <c r="A53">
        <v>31</v>
      </c>
      <c r="B53">
        <v>23276</v>
      </c>
    </row>
    <row r="54" spans="1:2" x14ac:dyDescent="0.25">
      <c r="A54">
        <v>32</v>
      </c>
      <c r="B54">
        <v>22329</v>
      </c>
    </row>
    <row r="55" spans="1:2" x14ac:dyDescent="0.25">
      <c r="A55">
        <v>33</v>
      </c>
      <c r="B55">
        <v>21426</v>
      </c>
    </row>
    <row r="56" spans="1:2" x14ac:dyDescent="0.25">
      <c r="A56">
        <v>34</v>
      </c>
      <c r="B56">
        <v>20564</v>
      </c>
    </row>
    <row r="57" spans="1:2" x14ac:dyDescent="0.25">
      <c r="A57">
        <v>35</v>
      </c>
      <c r="B57">
        <v>19741</v>
      </c>
    </row>
    <row r="58" spans="1:2" x14ac:dyDescent="0.25">
      <c r="A58">
        <v>36</v>
      </c>
      <c r="B58">
        <v>18955</v>
      </c>
    </row>
    <row r="59" spans="1:2" x14ac:dyDescent="0.25">
      <c r="A59">
        <v>37</v>
      </c>
      <c r="B59">
        <v>18204</v>
      </c>
    </row>
    <row r="60" spans="1:2" x14ac:dyDescent="0.25">
      <c r="A60">
        <v>38</v>
      </c>
      <c r="B60">
        <v>17487</v>
      </c>
    </row>
    <row r="61" spans="1:2" x14ac:dyDescent="0.25">
      <c r="A61">
        <v>39</v>
      </c>
      <c r="B61">
        <v>16801</v>
      </c>
    </row>
    <row r="62" spans="1:2" x14ac:dyDescent="0.25">
      <c r="A62">
        <v>40</v>
      </c>
      <c r="B62">
        <v>16146</v>
      </c>
    </row>
    <row r="63" spans="1:2" x14ac:dyDescent="0.25">
      <c r="A63">
        <v>41</v>
      </c>
      <c r="B63">
        <v>15520</v>
      </c>
    </row>
    <row r="64" spans="1:2" x14ac:dyDescent="0.25">
      <c r="A64">
        <v>42</v>
      </c>
      <c r="B64">
        <v>14920</v>
      </c>
    </row>
    <row r="65" spans="1:2" x14ac:dyDescent="0.25">
      <c r="A65">
        <v>43</v>
      </c>
      <c r="B65">
        <v>14347</v>
      </c>
    </row>
    <row r="66" spans="1:2" x14ac:dyDescent="0.25">
      <c r="A66">
        <v>44</v>
      </c>
      <c r="B66">
        <v>13799</v>
      </c>
    </row>
    <row r="67" spans="1:2" x14ac:dyDescent="0.25">
      <c r="A67">
        <v>45</v>
      </c>
      <c r="B67">
        <v>13275</v>
      </c>
    </row>
    <row r="68" spans="1:2" x14ac:dyDescent="0.25">
      <c r="A68">
        <v>46</v>
      </c>
      <c r="B68">
        <v>12773</v>
      </c>
    </row>
    <row r="69" spans="1:2" x14ac:dyDescent="0.25">
      <c r="A69">
        <v>47</v>
      </c>
      <c r="B69">
        <v>12292</v>
      </c>
    </row>
    <row r="70" spans="1:2" x14ac:dyDescent="0.25">
      <c r="A70">
        <v>48</v>
      </c>
      <c r="B70">
        <v>11832</v>
      </c>
    </row>
    <row r="71" spans="1:2" x14ac:dyDescent="0.25">
      <c r="A71">
        <v>49</v>
      </c>
      <c r="B71">
        <v>11391</v>
      </c>
    </row>
    <row r="72" spans="1:2" x14ac:dyDescent="0.25">
      <c r="A72">
        <v>50</v>
      </c>
      <c r="B72">
        <v>10969</v>
      </c>
    </row>
    <row r="73" spans="1:2" x14ac:dyDescent="0.25">
      <c r="A73">
        <v>51</v>
      </c>
      <c r="B73">
        <v>10564</v>
      </c>
    </row>
    <row r="74" spans="1:2" x14ac:dyDescent="0.25">
      <c r="A74">
        <v>52</v>
      </c>
      <c r="B74">
        <v>10177</v>
      </c>
    </row>
    <row r="75" spans="1:2" x14ac:dyDescent="0.25">
      <c r="A75">
        <v>53</v>
      </c>
      <c r="B75">
        <v>9804.9</v>
      </c>
    </row>
    <row r="76" spans="1:2" x14ac:dyDescent="0.25">
      <c r="A76">
        <v>54</v>
      </c>
      <c r="B76">
        <v>9448.7000000000007</v>
      </c>
    </row>
    <row r="77" spans="1:2" x14ac:dyDescent="0.25">
      <c r="A77">
        <v>55</v>
      </c>
      <c r="B77">
        <v>9107.1</v>
      </c>
    </row>
    <row r="78" spans="1:2" x14ac:dyDescent="0.25">
      <c r="A78">
        <v>56</v>
      </c>
      <c r="B78">
        <v>8779.5</v>
      </c>
    </row>
    <row r="79" spans="1:2" x14ac:dyDescent="0.25">
      <c r="A79">
        <v>57</v>
      </c>
      <c r="B79">
        <v>8465.2999999999993</v>
      </c>
    </row>
    <row r="80" spans="1:2" x14ac:dyDescent="0.25">
      <c r="A80">
        <v>58</v>
      </c>
      <c r="B80">
        <v>8163.8</v>
      </c>
    </row>
    <row r="81" spans="1:2" x14ac:dyDescent="0.25">
      <c r="A81">
        <v>59</v>
      </c>
      <c r="B81">
        <v>7874.5</v>
      </c>
    </row>
    <row r="82" spans="1:2" x14ac:dyDescent="0.25">
      <c r="A82">
        <v>60</v>
      </c>
      <c r="B82">
        <v>7596.8</v>
      </c>
    </row>
    <row r="83" spans="1:2" x14ac:dyDescent="0.25">
      <c r="A83">
        <v>61</v>
      </c>
      <c r="B83">
        <v>7330.2</v>
      </c>
    </row>
    <row r="84" spans="1:2" x14ac:dyDescent="0.25">
      <c r="A84">
        <v>62</v>
      </c>
      <c r="B84">
        <v>7075.3</v>
      </c>
    </row>
    <row r="85" spans="1:2" x14ac:dyDescent="0.25">
      <c r="A85">
        <v>63</v>
      </c>
      <c r="B85">
        <v>6828.5</v>
      </c>
    </row>
    <row r="86" spans="1:2" x14ac:dyDescent="0.25">
      <c r="A86">
        <v>64</v>
      </c>
      <c r="B86">
        <v>6592.5</v>
      </c>
    </row>
    <row r="87" spans="1:2" x14ac:dyDescent="0.25">
      <c r="A87">
        <v>65</v>
      </c>
      <c r="B87">
        <v>6365.7</v>
      </c>
    </row>
    <row r="88" spans="1:2" x14ac:dyDescent="0.25">
      <c r="A88">
        <v>66</v>
      </c>
      <c r="B88">
        <v>6147.8</v>
      </c>
    </row>
    <row r="89" spans="1:2" x14ac:dyDescent="0.25">
      <c r="A89">
        <v>67</v>
      </c>
      <c r="B89">
        <v>5938.4</v>
      </c>
    </row>
    <row r="90" spans="1:2" x14ac:dyDescent="0.25">
      <c r="A90">
        <v>68</v>
      </c>
      <c r="B90">
        <v>5737</v>
      </c>
    </row>
    <row r="91" spans="1:2" x14ac:dyDescent="0.25">
      <c r="A91">
        <v>69</v>
      </c>
      <c r="B91">
        <v>5543.5</v>
      </c>
    </row>
    <row r="92" spans="1:2" x14ac:dyDescent="0.25">
      <c r="A92">
        <v>70</v>
      </c>
      <c r="B92">
        <v>5357.4</v>
      </c>
    </row>
    <row r="93" spans="1:2" x14ac:dyDescent="0.25">
      <c r="A93">
        <v>71</v>
      </c>
      <c r="B93">
        <v>5178.3999999999996</v>
      </c>
    </row>
    <row r="94" spans="1:2" x14ac:dyDescent="0.25">
      <c r="A94">
        <v>72</v>
      </c>
      <c r="B94">
        <v>5006.3</v>
      </c>
    </row>
    <row r="95" spans="1:2" x14ac:dyDescent="0.25">
      <c r="A95">
        <v>73</v>
      </c>
      <c r="B95">
        <v>4840.7</v>
      </c>
    </row>
    <row r="96" spans="1:2" x14ac:dyDescent="0.25">
      <c r="A96">
        <v>74</v>
      </c>
      <c r="B96">
        <v>4681.3</v>
      </c>
    </row>
    <row r="97" spans="1:2" x14ac:dyDescent="0.25">
      <c r="A97">
        <v>75</v>
      </c>
      <c r="B97">
        <v>4527.8999999999996</v>
      </c>
    </row>
    <row r="98" spans="1:2" x14ac:dyDescent="0.25">
      <c r="A98">
        <v>76</v>
      </c>
      <c r="B98">
        <v>4380.3</v>
      </c>
    </row>
    <row r="99" spans="1:2" x14ac:dyDescent="0.25">
      <c r="A99">
        <v>77</v>
      </c>
      <c r="B99">
        <v>4238.1000000000004</v>
      </c>
    </row>
    <row r="100" spans="1:2" x14ac:dyDescent="0.25">
      <c r="A100">
        <v>78</v>
      </c>
      <c r="B100">
        <v>4101.2</v>
      </c>
    </row>
    <row r="101" spans="1:2" x14ac:dyDescent="0.25">
      <c r="A101">
        <v>79</v>
      </c>
      <c r="B101">
        <v>3969.4</v>
      </c>
    </row>
    <row r="102" spans="1:2" x14ac:dyDescent="0.25">
      <c r="A102">
        <v>80</v>
      </c>
      <c r="B102">
        <v>3842.4</v>
      </c>
    </row>
    <row r="103" spans="1:2" x14ac:dyDescent="0.25">
      <c r="A103">
        <v>81</v>
      </c>
      <c r="B103">
        <v>3720.1</v>
      </c>
    </row>
    <row r="104" spans="1:2" x14ac:dyDescent="0.25">
      <c r="A104">
        <v>82</v>
      </c>
      <c r="B104">
        <v>3602.2</v>
      </c>
    </row>
    <row r="105" spans="1:2" x14ac:dyDescent="0.25">
      <c r="A105">
        <v>83</v>
      </c>
      <c r="B105">
        <v>3488.6</v>
      </c>
    </row>
    <row r="106" spans="1:2" x14ac:dyDescent="0.25">
      <c r="A106">
        <v>84</v>
      </c>
      <c r="B106">
        <v>3379.1</v>
      </c>
    </row>
    <row r="107" spans="1:2" x14ac:dyDescent="0.25">
      <c r="A107">
        <v>85</v>
      </c>
      <c r="B107">
        <v>3273.6</v>
      </c>
    </row>
    <row r="108" spans="1:2" x14ac:dyDescent="0.25">
      <c r="A108">
        <v>86</v>
      </c>
      <c r="B108">
        <v>3171.8</v>
      </c>
    </row>
    <row r="109" spans="1:2" x14ac:dyDescent="0.25">
      <c r="A109">
        <v>87</v>
      </c>
      <c r="B109">
        <v>3073.7</v>
      </c>
    </row>
    <row r="110" spans="1:2" x14ac:dyDescent="0.25">
      <c r="A110">
        <v>88</v>
      </c>
      <c r="B110">
        <v>2979</v>
      </c>
    </row>
    <row r="111" spans="1:2" x14ac:dyDescent="0.25">
      <c r="A111">
        <v>89</v>
      </c>
      <c r="B111">
        <v>2887.7</v>
      </c>
    </row>
    <row r="112" spans="1:2" x14ac:dyDescent="0.25">
      <c r="A112">
        <v>90</v>
      </c>
      <c r="B112">
        <v>2799.6</v>
      </c>
    </row>
    <row r="113" spans="1:2" x14ac:dyDescent="0.25">
      <c r="A113">
        <v>91</v>
      </c>
      <c r="B113">
        <v>2714.6</v>
      </c>
    </row>
    <row r="114" spans="1:2" x14ac:dyDescent="0.25">
      <c r="A114">
        <v>92</v>
      </c>
      <c r="B114">
        <v>2632.5</v>
      </c>
    </row>
    <row r="115" spans="1:2" x14ac:dyDescent="0.25">
      <c r="A115">
        <v>93</v>
      </c>
      <c r="B115">
        <v>2553.3000000000002</v>
      </c>
    </row>
    <row r="116" spans="1:2" x14ac:dyDescent="0.25">
      <c r="A116">
        <v>94</v>
      </c>
      <c r="B116">
        <v>2476.9</v>
      </c>
    </row>
    <row r="117" spans="1:2" x14ac:dyDescent="0.25">
      <c r="A117">
        <v>95</v>
      </c>
      <c r="B117">
        <v>2403</v>
      </c>
    </row>
    <row r="118" spans="1:2" x14ac:dyDescent="0.25">
      <c r="A118">
        <v>96</v>
      </c>
      <c r="B118">
        <v>2331.6999999999998</v>
      </c>
    </row>
    <row r="119" spans="1:2" x14ac:dyDescent="0.25">
      <c r="A119">
        <v>97</v>
      </c>
      <c r="B119">
        <v>2262.9</v>
      </c>
    </row>
    <row r="120" spans="1:2" x14ac:dyDescent="0.25">
      <c r="A120">
        <v>98</v>
      </c>
      <c r="B120">
        <v>2196.4</v>
      </c>
    </row>
    <row r="121" spans="1:2" x14ac:dyDescent="0.25">
      <c r="A121">
        <v>99</v>
      </c>
      <c r="B121">
        <v>2132.1</v>
      </c>
    </row>
    <row r="122" spans="1:2" x14ac:dyDescent="0.25">
      <c r="A122">
        <v>100</v>
      </c>
      <c r="B122">
        <v>2070</v>
      </c>
    </row>
    <row r="123" spans="1:2" x14ac:dyDescent="0.25">
      <c r="A123">
        <v>101</v>
      </c>
      <c r="B123">
        <v>2009.9</v>
      </c>
    </row>
    <row r="124" spans="1:2" x14ac:dyDescent="0.25">
      <c r="A124">
        <v>102</v>
      </c>
      <c r="B124">
        <v>1951.8</v>
      </c>
    </row>
    <row r="125" spans="1:2" x14ac:dyDescent="0.25">
      <c r="A125">
        <v>103</v>
      </c>
      <c r="B125">
        <v>1895.7</v>
      </c>
    </row>
    <row r="126" spans="1:2" x14ac:dyDescent="0.25">
      <c r="A126">
        <v>104</v>
      </c>
      <c r="B126">
        <v>1841.4</v>
      </c>
    </row>
    <row r="127" spans="1:2" x14ac:dyDescent="0.25">
      <c r="A127">
        <v>105</v>
      </c>
      <c r="B127">
        <v>1789</v>
      </c>
    </row>
    <row r="128" spans="1:2" x14ac:dyDescent="0.25">
      <c r="A128">
        <v>106</v>
      </c>
      <c r="B128">
        <v>1738.2</v>
      </c>
    </row>
    <row r="129" spans="1:2" x14ac:dyDescent="0.25">
      <c r="A129">
        <v>107</v>
      </c>
      <c r="B129">
        <v>1689.1</v>
      </c>
    </row>
    <row r="130" spans="1:2" x14ac:dyDescent="0.25">
      <c r="A130">
        <v>108</v>
      </c>
      <c r="B130">
        <v>1641.7</v>
      </c>
    </row>
    <row r="131" spans="1:2" x14ac:dyDescent="0.25">
      <c r="A131">
        <v>109</v>
      </c>
      <c r="B131">
        <v>1595.7</v>
      </c>
    </row>
    <row r="132" spans="1:2" x14ac:dyDescent="0.25">
      <c r="A132">
        <v>110</v>
      </c>
      <c r="B132">
        <v>1551.3</v>
      </c>
    </row>
    <row r="133" spans="1:2" x14ac:dyDescent="0.25">
      <c r="A133">
        <v>111</v>
      </c>
      <c r="B133">
        <v>1508.3</v>
      </c>
    </row>
    <row r="134" spans="1:2" x14ac:dyDescent="0.25">
      <c r="A134">
        <v>112</v>
      </c>
      <c r="B134">
        <v>1466.6</v>
      </c>
    </row>
    <row r="135" spans="1:2" x14ac:dyDescent="0.25">
      <c r="A135">
        <v>113</v>
      </c>
      <c r="B135">
        <v>1426.3</v>
      </c>
    </row>
    <row r="136" spans="1:2" x14ac:dyDescent="0.25">
      <c r="A136">
        <v>114</v>
      </c>
      <c r="B136">
        <v>1387.3</v>
      </c>
    </row>
    <row r="137" spans="1:2" x14ac:dyDescent="0.25">
      <c r="A137">
        <v>115</v>
      </c>
      <c r="B137">
        <v>1349.6</v>
      </c>
    </row>
    <row r="138" spans="1:2" x14ac:dyDescent="0.25">
      <c r="A138">
        <v>116</v>
      </c>
      <c r="B138">
        <v>1313</v>
      </c>
    </row>
    <row r="139" spans="1:2" x14ac:dyDescent="0.25">
      <c r="A139">
        <v>117</v>
      </c>
      <c r="B139">
        <v>1277.5999999999999</v>
      </c>
    </row>
    <row r="140" spans="1:2" x14ac:dyDescent="0.25">
      <c r="A140">
        <v>118</v>
      </c>
      <c r="B140">
        <v>1243.2</v>
      </c>
    </row>
    <row r="141" spans="1:2" x14ac:dyDescent="0.25">
      <c r="A141">
        <v>119</v>
      </c>
      <c r="B141">
        <v>1210</v>
      </c>
    </row>
    <row r="142" spans="1:2" x14ac:dyDescent="0.25">
      <c r="A142">
        <v>120</v>
      </c>
      <c r="B142">
        <v>1177.8</v>
      </c>
    </row>
    <row r="143" spans="1:2" x14ac:dyDescent="0.25">
      <c r="A143">
        <v>121</v>
      </c>
      <c r="B143">
        <v>1146.5999999999999</v>
      </c>
    </row>
    <row r="144" spans="1:2" x14ac:dyDescent="0.25">
      <c r="A144">
        <v>122</v>
      </c>
      <c r="B144">
        <v>1116.3</v>
      </c>
    </row>
    <row r="145" spans="1:2" x14ac:dyDescent="0.25">
      <c r="A145">
        <v>123</v>
      </c>
      <c r="B145">
        <v>1087</v>
      </c>
    </row>
    <row r="146" spans="1:2" x14ac:dyDescent="0.25">
      <c r="A146">
        <v>124</v>
      </c>
      <c r="B146">
        <v>1058.5999999999999</v>
      </c>
    </row>
    <row r="147" spans="1:2" x14ac:dyDescent="0.25">
      <c r="A147">
        <v>125</v>
      </c>
      <c r="B147">
        <v>1031</v>
      </c>
    </row>
    <row r="148" spans="1:2" x14ac:dyDescent="0.25">
      <c r="A148">
        <v>126</v>
      </c>
      <c r="B148">
        <v>1004.3</v>
      </c>
    </row>
    <row r="149" spans="1:2" x14ac:dyDescent="0.25">
      <c r="A149">
        <v>127</v>
      </c>
      <c r="B149">
        <v>978.37</v>
      </c>
    </row>
    <row r="150" spans="1:2" x14ac:dyDescent="0.25">
      <c r="A150">
        <v>128</v>
      </c>
      <c r="B150">
        <v>953.23</v>
      </c>
    </row>
    <row r="151" spans="1:2" x14ac:dyDescent="0.25">
      <c r="A151">
        <v>129</v>
      </c>
      <c r="B151">
        <v>928.85</v>
      </c>
    </row>
    <row r="152" spans="1:2" x14ac:dyDescent="0.25">
      <c r="A152">
        <v>130</v>
      </c>
      <c r="B152">
        <v>905.2</v>
      </c>
    </row>
    <row r="153" spans="1:2" x14ac:dyDescent="0.25">
      <c r="A153">
        <v>131</v>
      </c>
      <c r="B153">
        <v>882.25</v>
      </c>
    </row>
    <row r="154" spans="1:2" x14ac:dyDescent="0.25">
      <c r="A154">
        <v>132</v>
      </c>
      <c r="B154">
        <v>859.97</v>
      </c>
    </row>
    <row r="155" spans="1:2" x14ac:dyDescent="0.25">
      <c r="A155">
        <v>133</v>
      </c>
      <c r="B155">
        <v>838.36</v>
      </c>
    </row>
    <row r="156" spans="1:2" x14ac:dyDescent="0.25">
      <c r="A156">
        <v>134</v>
      </c>
      <c r="B156">
        <v>817.38</v>
      </c>
    </row>
    <row r="157" spans="1:2" x14ac:dyDescent="0.25">
      <c r="A157">
        <v>135</v>
      </c>
      <c r="B157">
        <v>797.02</v>
      </c>
    </row>
    <row r="158" spans="1:2" x14ac:dyDescent="0.25">
      <c r="A158">
        <v>136</v>
      </c>
      <c r="B158">
        <v>777.24</v>
      </c>
    </row>
    <row r="159" spans="1:2" x14ac:dyDescent="0.25">
      <c r="A159">
        <v>137</v>
      </c>
      <c r="B159">
        <v>758.05</v>
      </c>
    </row>
    <row r="160" spans="1:2" x14ac:dyDescent="0.25">
      <c r="A160">
        <v>138</v>
      </c>
      <c r="B160">
        <v>739.4</v>
      </c>
    </row>
    <row r="161" spans="1:2" x14ac:dyDescent="0.25">
      <c r="A161">
        <v>139</v>
      </c>
      <c r="B161">
        <v>721.3</v>
      </c>
    </row>
    <row r="162" spans="1:2" x14ac:dyDescent="0.25">
      <c r="A162">
        <v>140</v>
      </c>
      <c r="B162">
        <v>703.71</v>
      </c>
    </row>
    <row r="163" spans="1:2" x14ac:dyDescent="0.25">
      <c r="A163">
        <v>141</v>
      </c>
      <c r="B163">
        <v>686.3</v>
      </c>
    </row>
    <row r="164" spans="1:2" x14ac:dyDescent="0.25">
      <c r="A164">
        <v>142</v>
      </c>
      <c r="B164">
        <v>670.03</v>
      </c>
    </row>
    <row r="165" spans="1:2" x14ac:dyDescent="0.25">
      <c r="A165">
        <v>143</v>
      </c>
      <c r="B165">
        <v>653.9</v>
      </c>
    </row>
    <row r="166" spans="1:2" x14ac:dyDescent="0.25">
      <c r="A166">
        <v>144</v>
      </c>
      <c r="B166">
        <v>638.23</v>
      </c>
    </row>
    <row r="167" spans="1:2" x14ac:dyDescent="0.25">
      <c r="A167">
        <v>145</v>
      </c>
      <c r="B167">
        <v>623</v>
      </c>
    </row>
    <row r="168" spans="1:2" x14ac:dyDescent="0.25">
      <c r="A168">
        <v>146</v>
      </c>
      <c r="B168">
        <v>608.20000000000005</v>
      </c>
    </row>
    <row r="169" spans="1:2" x14ac:dyDescent="0.25">
      <c r="A169">
        <v>147</v>
      </c>
      <c r="B169">
        <v>593.80999999999995</v>
      </c>
    </row>
    <row r="170" spans="1:2" x14ac:dyDescent="0.25">
      <c r="A170">
        <v>148</v>
      </c>
      <c r="B170">
        <v>579.82000000000005</v>
      </c>
    </row>
    <row r="171" spans="1:2" x14ac:dyDescent="0.25">
      <c r="A171">
        <v>149</v>
      </c>
      <c r="B171">
        <v>566.22</v>
      </c>
    </row>
    <row r="172" spans="1:2" x14ac:dyDescent="0.25">
      <c r="A172">
        <v>150</v>
      </c>
      <c r="B172">
        <v>552.99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2C6A-DE32-4744-BE02-27D062AAD0A9}">
  <dimension ref="A1:S206"/>
  <sheetViews>
    <sheetView tabSelected="1" topLeftCell="A6" workbookViewId="0">
      <selection activeCell="G24" sqref="G24"/>
    </sheetView>
  </sheetViews>
  <sheetFormatPr defaultRowHeight="15" x14ac:dyDescent="0.25"/>
  <cols>
    <col min="15" max="15" width="12" customWidth="1"/>
    <col min="16" max="16" width="13.5703125" customWidth="1"/>
    <col min="17" max="17" width="17.140625" customWidth="1"/>
    <col min="18" max="18" width="16.7109375" customWidth="1"/>
    <col min="19" max="19" width="18.42578125" customWidth="1"/>
  </cols>
  <sheetData>
    <row r="1" spans="1:19" x14ac:dyDescent="0.25">
      <c r="A1" s="14" t="s">
        <v>39</v>
      </c>
    </row>
    <row r="4" spans="1:19" x14ac:dyDescent="0.25">
      <c r="A4" s="15" t="s">
        <v>41</v>
      </c>
      <c r="M4" s="15" t="s">
        <v>42</v>
      </c>
    </row>
    <row r="5" spans="1:19" x14ac:dyDescent="0.25">
      <c r="G5" t="s">
        <v>24</v>
      </c>
    </row>
    <row r="6" spans="1:19" x14ac:dyDescent="0.25">
      <c r="A6" t="s">
        <v>23</v>
      </c>
      <c r="G6" t="s">
        <v>16</v>
      </c>
      <c r="H6" t="s">
        <v>17</v>
      </c>
      <c r="I6" t="s">
        <v>4</v>
      </c>
      <c r="M6" t="s">
        <v>40</v>
      </c>
    </row>
    <row r="7" spans="1:19" ht="15.75" thickBot="1" x14ac:dyDescent="0.3">
      <c r="A7" s="12">
        <v>3.95</v>
      </c>
      <c r="B7" s="12">
        <v>10.95</v>
      </c>
      <c r="C7" s="12" t="s">
        <v>2</v>
      </c>
      <c r="D7" s="12" t="s">
        <v>3</v>
      </c>
      <c r="E7" s="12" t="s">
        <v>4</v>
      </c>
      <c r="F7" s="12" t="s">
        <v>25</v>
      </c>
      <c r="G7" s="12" t="s">
        <v>0</v>
      </c>
      <c r="H7" s="12" t="s">
        <v>1</v>
      </c>
      <c r="I7" s="12" t="s">
        <v>15</v>
      </c>
      <c r="M7" s="12" t="s">
        <v>29</v>
      </c>
      <c r="N7" s="12" t="s">
        <v>8</v>
      </c>
      <c r="O7" s="12" t="s">
        <v>12</v>
      </c>
      <c r="P7" s="12" t="s">
        <v>11</v>
      </c>
      <c r="Q7" s="12" t="s">
        <v>9</v>
      </c>
      <c r="R7" s="12" t="s">
        <v>7</v>
      </c>
      <c r="S7" s="12" t="s">
        <v>10</v>
      </c>
    </row>
    <row r="8" spans="1:19" ht="15.75" x14ac:dyDescent="0.25">
      <c r="A8">
        <v>17.811052631578946</v>
      </c>
      <c r="B8">
        <v>49.316842105263156</v>
      </c>
      <c r="C8">
        <v>6.5742105263157899</v>
      </c>
      <c r="D8">
        <v>63.436842105263146</v>
      </c>
      <c r="E8">
        <v>16.793684210526319</v>
      </c>
      <c r="F8">
        <v>373</v>
      </c>
      <c r="G8">
        <v>298.26315789473682</v>
      </c>
      <c r="H8">
        <v>298.05263157894734</v>
      </c>
      <c r="I8">
        <v>298.15789473684208</v>
      </c>
      <c r="O8" s="13">
        <v>3.4246354390283602</v>
      </c>
      <c r="P8" s="13">
        <v>2.0539409472480266</v>
      </c>
      <c r="Q8">
        <v>5.5706126231916411</v>
      </c>
      <c r="R8">
        <v>2.1451657933662243</v>
      </c>
      <c r="S8">
        <v>4.1943443427395222</v>
      </c>
    </row>
    <row r="9" spans="1:19" x14ac:dyDescent="0.25">
      <c r="A9">
        <v>28.482499999999998</v>
      </c>
      <c r="B9">
        <v>87.378499999999988</v>
      </c>
      <c r="C9">
        <v>12.248499999999998</v>
      </c>
      <c r="D9">
        <v>116.18249999999998</v>
      </c>
      <c r="E9">
        <v>32.5505</v>
      </c>
      <c r="F9">
        <v>423</v>
      </c>
      <c r="G9">
        <v>299.55</v>
      </c>
      <c r="H9">
        <v>299.2</v>
      </c>
      <c r="I9">
        <v>299.375</v>
      </c>
      <c r="O9" t="s">
        <v>36</v>
      </c>
    </row>
    <row r="10" spans="1:19" x14ac:dyDescent="0.25">
      <c r="A10">
        <v>41.166666666666657</v>
      </c>
      <c r="B10">
        <v>128.06666666666666</v>
      </c>
      <c r="C10">
        <v>23.481904761904765</v>
      </c>
      <c r="D10">
        <v>180.32333333333335</v>
      </c>
      <c r="E10">
        <v>57.280476190476193</v>
      </c>
      <c r="F10">
        <v>473</v>
      </c>
      <c r="G10" s="19">
        <v>302.28571428571428</v>
      </c>
      <c r="H10">
        <v>301.57142857142856</v>
      </c>
      <c r="I10">
        <v>301.92857142857144</v>
      </c>
    </row>
    <row r="11" spans="1:19" x14ac:dyDescent="0.25">
      <c r="A11">
        <v>56.519999999999996</v>
      </c>
      <c r="B11">
        <v>172.983</v>
      </c>
      <c r="C11">
        <v>43.466999999999999</v>
      </c>
      <c r="D11">
        <v>256.4545</v>
      </c>
      <c r="E11">
        <v>91.808499999999981</v>
      </c>
      <c r="F11">
        <v>523</v>
      </c>
      <c r="G11">
        <v>303.95</v>
      </c>
      <c r="H11">
        <v>303.2</v>
      </c>
      <c r="I11">
        <v>303.57499999999999</v>
      </c>
    </row>
    <row r="12" spans="1:19" x14ac:dyDescent="0.25">
      <c r="A12">
        <v>78.154500000000013</v>
      </c>
      <c r="B12">
        <v>221.608</v>
      </c>
      <c r="C12">
        <v>73.477499999999992</v>
      </c>
      <c r="D12">
        <v>341.053</v>
      </c>
      <c r="E12">
        <v>137.45099999999999</v>
      </c>
      <c r="F12">
        <v>573</v>
      </c>
      <c r="G12">
        <v>308.25</v>
      </c>
      <c r="H12">
        <v>306.75</v>
      </c>
      <c r="I12">
        <v>307.5</v>
      </c>
    </row>
    <row r="13" spans="1:19" x14ac:dyDescent="0.25">
      <c r="A13">
        <v>106.434</v>
      </c>
      <c r="B13">
        <v>279.21650000000011</v>
      </c>
      <c r="C13">
        <v>122.22549999999998</v>
      </c>
      <c r="D13">
        <v>439.91250000000002</v>
      </c>
      <c r="E13">
        <v>203.88200000000001</v>
      </c>
      <c r="F13">
        <v>623</v>
      </c>
      <c r="G13">
        <v>315.14999999999998</v>
      </c>
      <c r="H13">
        <v>313.95</v>
      </c>
      <c r="I13">
        <v>314.55</v>
      </c>
    </row>
    <row r="14" spans="1:19" x14ac:dyDescent="0.25">
      <c r="A14">
        <v>154.3725</v>
      </c>
      <c r="B14">
        <v>355.35549999999995</v>
      </c>
      <c r="C14">
        <v>186.84200000000001</v>
      </c>
      <c r="D14">
        <v>551.21949999999993</v>
      </c>
      <c r="E14">
        <v>283.68650000000002</v>
      </c>
      <c r="F14">
        <v>673</v>
      </c>
      <c r="G14">
        <v>313.35000000000002</v>
      </c>
      <c r="H14">
        <v>312.7</v>
      </c>
      <c r="I14">
        <v>313.02499999999998</v>
      </c>
    </row>
    <row r="15" spans="1:19" x14ac:dyDescent="0.25">
      <c r="A15">
        <v>205.53400000000002</v>
      </c>
      <c r="B15">
        <v>425.69100000000009</v>
      </c>
      <c r="C15">
        <v>280.50449999999995</v>
      </c>
      <c r="D15">
        <v>668.53000000000009</v>
      </c>
      <c r="E15">
        <v>396.52499999999998</v>
      </c>
      <c r="F15">
        <v>723</v>
      </c>
      <c r="G15">
        <v>321.75</v>
      </c>
      <c r="H15">
        <v>320.14999999999998</v>
      </c>
      <c r="I15">
        <v>320.95</v>
      </c>
    </row>
    <row r="16" spans="1:19" x14ac:dyDescent="0.25">
      <c r="A16">
        <v>251.5</v>
      </c>
      <c r="B16">
        <v>473.51100000000008</v>
      </c>
      <c r="C16">
        <v>390.68200000000002</v>
      </c>
      <c r="D16">
        <v>784.34849999999983</v>
      </c>
      <c r="E16">
        <v>507.30949999999996</v>
      </c>
      <c r="F16">
        <v>773</v>
      </c>
      <c r="G16">
        <v>325.7</v>
      </c>
      <c r="H16">
        <v>324.25</v>
      </c>
      <c r="I16">
        <v>324.97500000000002</v>
      </c>
    </row>
    <row r="19" spans="1:13" x14ac:dyDescent="0.25">
      <c r="A19" s="15" t="s">
        <v>43</v>
      </c>
    </row>
    <row r="20" spans="1:13" x14ac:dyDescent="0.25">
      <c r="G20" t="s">
        <v>24</v>
      </c>
    </row>
    <row r="21" spans="1:13" x14ac:dyDescent="0.25">
      <c r="A21" t="s">
        <v>23</v>
      </c>
      <c r="G21" t="s">
        <v>16</v>
      </c>
      <c r="H21" t="s">
        <v>17</v>
      </c>
      <c r="I21" t="s">
        <v>4</v>
      </c>
    </row>
    <row r="22" spans="1:13" ht="15.75" thickBot="1" x14ac:dyDescent="0.3">
      <c r="A22" s="12">
        <v>3.95</v>
      </c>
      <c r="B22" s="12">
        <v>10.95</v>
      </c>
      <c r="C22" s="12" t="s">
        <v>2</v>
      </c>
      <c r="D22" s="12" t="s">
        <v>3</v>
      </c>
      <c r="E22" s="12" t="s">
        <v>4</v>
      </c>
      <c r="F22" s="12" t="s">
        <v>25</v>
      </c>
      <c r="G22" s="12" t="s">
        <v>0</v>
      </c>
      <c r="H22" s="12" t="s">
        <v>1</v>
      </c>
      <c r="I22" s="12" t="s">
        <v>15</v>
      </c>
    </row>
    <row r="24" spans="1:13" x14ac:dyDescent="0.25">
      <c r="G24" s="6" t="s">
        <v>44</v>
      </c>
      <c r="H24" s="6"/>
      <c r="I24" s="6"/>
      <c r="J24" s="6"/>
      <c r="K24" s="6"/>
      <c r="L24" s="6"/>
      <c r="M24" s="6"/>
    </row>
    <row r="25" spans="1:13" x14ac:dyDescent="0.25">
      <c r="A25" s="5" t="s">
        <v>23</v>
      </c>
      <c r="B25" s="5"/>
      <c r="G25" s="6" t="s">
        <v>16</v>
      </c>
      <c r="H25" s="6" t="s">
        <v>17</v>
      </c>
      <c r="I25" s="6" t="s">
        <v>4</v>
      </c>
    </row>
    <row r="26" spans="1:13" ht="15.75" thickBot="1" x14ac:dyDescent="0.3">
      <c r="A26" s="16">
        <v>3.95</v>
      </c>
      <c r="B26" s="16">
        <v>10.95</v>
      </c>
      <c r="C26" s="16" t="s">
        <v>2</v>
      </c>
      <c r="D26" s="16" t="s">
        <v>3</v>
      </c>
      <c r="E26" s="16" t="s">
        <v>4</v>
      </c>
      <c r="F26" s="17" t="s">
        <v>25</v>
      </c>
      <c r="G26" s="18" t="s">
        <v>0</v>
      </c>
      <c r="H26" s="18" t="s">
        <v>1</v>
      </c>
      <c r="I26" s="18" t="s">
        <v>15</v>
      </c>
    </row>
    <row r="27" spans="1:13" x14ac:dyDescent="0.25">
      <c r="A27" s="5">
        <v>18.53</v>
      </c>
      <c r="B27" s="5">
        <v>48.34</v>
      </c>
      <c r="C27" s="5">
        <v>6.45</v>
      </c>
      <c r="D27" s="5">
        <v>63.65</v>
      </c>
      <c r="E27" s="5">
        <v>15.31</v>
      </c>
      <c r="F27" s="3">
        <v>373</v>
      </c>
      <c r="G27" s="6">
        <v>780.72</v>
      </c>
      <c r="H27" s="6">
        <v>780.72</v>
      </c>
      <c r="I27" s="6">
        <f>AVERAGE(G27:H27)</f>
        <v>780.72</v>
      </c>
    </row>
    <row r="28" spans="1:13" x14ac:dyDescent="0.25">
      <c r="A28" s="5">
        <v>18.53</v>
      </c>
      <c r="B28" s="5">
        <v>52.37</v>
      </c>
      <c r="C28" s="5">
        <v>6.45</v>
      </c>
      <c r="D28" s="5">
        <v>62.84</v>
      </c>
      <c r="E28" s="5">
        <v>15.31</v>
      </c>
      <c r="F28" s="3">
        <v>373</v>
      </c>
      <c r="G28" s="6">
        <v>777.5</v>
      </c>
      <c r="H28" s="6">
        <v>779.92</v>
      </c>
      <c r="I28" s="6">
        <f t="shared" ref="I28:I91" si="0">AVERAGE(G28:H28)</f>
        <v>778.71</v>
      </c>
    </row>
    <row r="29" spans="1:13" x14ac:dyDescent="0.25">
      <c r="A29" s="5">
        <v>16.11</v>
      </c>
      <c r="B29" s="5">
        <v>49.95</v>
      </c>
      <c r="C29" s="5">
        <v>6.45</v>
      </c>
      <c r="D29" s="5">
        <v>66.87</v>
      </c>
      <c r="E29" s="5">
        <v>16.920000000000002</v>
      </c>
      <c r="F29" s="3">
        <v>373</v>
      </c>
      <c r="G29" s="6">
        <v>772.67</v>
      </c>
      <c r="H29" s="6">
        <v>776.69</v>
      </c>
      <c r="I29" s="6">
        <f t="shared" si="0"/>
        <v>774.68000000000006</v>
      </c>
    </row>
    <row r="30" spans="1:13" x14ac:dyDescent="0.25">
      <c r="A30" s="5">
        <v>17.73</v>
      </c>
      <c r="B30" s="5">
        <v>49.15</v>
      </c>
      <c r="C30" s="5">
        <v>6.45</v>
      </c>
      <c r="D30" s="5">
        <v>63.65</v>
      </c>
      <c r="E30" s="5">
        <v>17.73</v>
      </c>
      <c r="F30" s="3">
        <v>373</v>
      </c>
      <c r="G30" s="6">
        <v>776.69</v>
      </c>
      <c r="H30" s="6">
        <v>777.5</v>
      </c>
      <c r="I30" s="6">
        <f t="shared" si="0"/>
        <v>777.09500000000003</v>
      </c>
    </row>
    <row r="31" spans="1:13" x14ac:dyDescent="0.25">
      <c r="A31" s="5">
        <v>19.34</v>
      </c>
      <c r="B31" s="5">
        <v>49.95</v>
      </c>
      <c r="C31" s="5">
        <v>6.45</v>
      </c>
      <c r="D31" s="5">
        <v>62.84</v>
      </c>
      <c r="E31" s="5">
        <v>16.11</v>
      </c>
      <c r="F31" s="3">
        <v>373</v>
      </c>
      <c r="G31" s="6">
        <v>774.28</v>
      </c>
      <c r="H31" s="6">
        <v>776.69</v>
      </c>
      <c r="I31" s="6">
        <f t="shared" si="0"/>
        <v>775.48500000000001</v>
      </c>
    </row>
    <row r="32" spans="1:13" x14ac:dyDescent="0.25">
      <c r="A32" s="5">
        <v>16.920000000000002</v>
      </c>
      <c r="B32" s="5">
        <v>49.95</v>
      </c>
      <c r="C32" s="5">
        <v>8.06</v>
      </c>
      <c r="D32" s="5">
        <v>62.84</v>
      </c>
      <c r="E32" s="5">
        <v>15.31</v>
      </c>
      <c r="F32" s="3">
        <v>373</v>
      </c>
      <c r="G32" s="6">
        <v>770.25</v>
      </c>
      <c r="H32" s="6">
        <v>775.89</v>
      </c>
      <c r="I32" s="6">
        <f t="shared" si="0"/>
        <v>773.06999999999994</v>
      </c>
    </row>
    <row r="33" spans="1:9" x14ac:dyDescent="0.25">
      <c r="A33" s="5">
        <v>19.34</v>
      </c>
      <c r="B33" s="5">
        <v>50.76</v>
      </c>
      <c r="C33" s="5">
        <v>8.86</v>
      </c>
      <c r="D33" s="5">
        <v>64.459999999999994</v>
      </c>
      <c r="E33" s="5">
        <v>18.53</v>
      </c>
      <c r="F33" s="3">
        <v>373</v>
      </c>
      <c r="G33" s="6">
        <v>771.86</v>
      </c>
      <c r="H33" s="6">
        <v>775.89</v>
      </c>
      <c r="I33" s="6">
        <f t="shared" si="0"/>
        <v>773.875</v>
      </c>
    </row>
    <row r="34" spans="1:9" x14ac:dyDescent="0.25">
      <c r="A34" s="5">
        <v>19.34</v>
      </c>
      <c r="B34" s="5">
        <v>49.95</v>
      </c>
      <c r="C34" s="5">
        <v>5.64</v>
      </c>
      <c r="D34" s="5">
        <v>64.459999999999994</v>
      </c>
      <c r="E34" s="5">
        <v>16.920000000000002</v>
      </c>
      <c r="F34" s="3">
        <v>373</v>
      </c>
      <c r="G34" s="6">
        <v>771.05</v>
      </c>
      <c r="H34" s="6">
        <v>772.67</v>
      </c>
      <c r="I34" s="6">
        <f t="shared" si="0"/>
        <v>771.8599999999999</v>
      </c>
    </row>
    <row r="35" spans="1:9" x14ac:dyDescent="0.25">
      <c r="A35" s="5">
        <v>18.53</v>
      </c>
      <c r="B35" s="5">
        <v>49.95</v>
      </c>
      <c r="C35" s="5">
        <v>5.64</v>
      </c>
      <c r="D35" s="5">
        <v>62.04</v>
      </c>
      <c r="E35" s="5">
        <v>16.920000000000002</v>
      </c>
      <c r="F35" s="3">
        <v>373</v>
      </c>
      <c r="G35" s="6">
        <v>768.64</v>
      </c>
      <c r="H35" s="6">
        <v>772.67</v>
      </c>
      <c r="I35" s="6">
        <f t="shared" si="0"/>
        <v>770.65499999999997</v>
      </c>
    </row>
    <row r="36" spans="1:9" x14ac:dyDescent="0.25">
      <c r="A36" s="5">
        <v>20.14</v>
      </c>
      <c r="B36" s="5">
        <v>49.15</v>
      </c>
      <c r="C36" s="5">
        <v>7.25</v>
      </c>
      <c r="D36" s="5">
        <v>65.260000000000005</v>
      </c>
      <c r="E36" s="5">
        <v>16.11</v>
      </c>
      <c r="F36" s="3">
        <v>373</v>
      </c>
      <c r="G36" s="6">
        <v>766.22</v>
      </c>
      <c r="H36" s="6">
        <v>771.05</v>
      </c>
      <c r="I36" s="6">
        <f t="shared" si="0"/>
        <v>768.63499999999999</v>
      </c>
    </row>
    <row r="37" spans="1:9" x14ac:dyDescent="0.25">
      <c r="A37" s="5">
        <v>16.920000000000002</v>
      </c>
      <c r="B37" s="5">
        <v>49.15</v>
      </c>
      <c r="C37" s="5">
        <v>7.25</v>
      </c>
      <c r="D37" s="5">
        <v>63.65</v>
      </c>
      <c r="E37" s="5">
        <v>15.31</v>
      </c>
      <c r="F37" s="3">
        <v>373</v>
      </c>
      <c r="G37" s="6">
        <v>767.83</v>
      </c>
      <c r="H37" s="6">
        <v>767.83</v>
      </c>
      <c r="I37" s="6">
        <f t="shared" si="0"/>
        <v>767.83</v>
      </c>
    </row>
    <row r="38" spans="1:9" x14ac:dyDescent="0.25">
      <c r="A38" s="5">
        <v>18.53</v>
      </c>
      <c r="B38" s="5">
        <v>49.15</v>
      </c>
      <c r="C38" s="5">
        <v>7.25</v>
      </c>
      <c r="D38" s="5">
        <v>62.04</v>
      </c>
      <c r="E38" s="5">
        <v>17.73</v>
      </c>
      <c r="F38" s="3">
        <v>373</v>
      </c>
      <c r="G38" s="6">
        <v>765.41</v>
      </c>
      <c r="H38" s="6">
        <v>771.05</v>
      </c>
      <c r="I38" s="6">
        <f t="shared" si="0"/>
        <v>768.23</v>
      </c>
    </row>
    <row r="39" spans="1:9" x14ac:dyDescent="0.25">
      <c r="A39" s="5">
        <v>17.73</v>
      </c>
      <c r="B39" s="5">
        <v>48.34</v>
      </c>
      <c r="C39" s="5">
        <v>7.25</v>
      </c>
      <c r="D39" s="5">
        <v>63.65</v>
      </c>
      <c r="E39" s="5">
        <v>16.920000000000002</v>
      </c>
      <c r="F39" s="3">
        <v>373</v>
      </c>
      <c r="G39" s="6">
        <v>766.22</v>
      </c>
      <c r="H39" s="6">
        <v>767.83</v>
      </c>
      <c r="I39" s="6">
        <f t="shared" si="0"/>
        <v>767.02500000000009</v>
      </c>
    </row>
    <row r="40" spans="1:9" x14ac:dyDescent="0.25">
      <c r="A40" s="5">
        <v>17.73</v>
      </c>
      <c r="B40" s="5">
        <v>47.54</v>
      </c>
      <c r="C40" s="5">
        <v>6.45</v>
      </c>
      <c r="D40" s="5">
        <v>62.84</v>
      </c>
      <c r="E40" s="5">
        <v>15.31</v>
      </c>
      <c r="F40" s="3">
        <v>373</v>
      </c>
      <c r="G40" s="6">
        <v>763</v>
      </c>
      <c r="H40" s="6">
        <v>767.03</v>
      </c>
      <c r="I40" s="6">
        <f t="shared" si="0"/>
        <v>765.01499999999999</v>
      </c>
    </row>
    <row r="41" spans="1:9" x14ac:dyDescent="0.25">
      <c r="A41" s="5">
        <v>16.920000000000002</v>
      </c>
      <c r="B41" s="5">
        <v>47.54</v>
      </c>
      <c r="C41" s="5">
        <v>5.64</v>
      </c>
      <c r="D41" s="5">
        <v>62.04</v>
      </c>
      <c r="E41" s="5">
        <v>17.73</v>
      </c>
      <c r="F41" s="3">
        <v>373</v>
      </c>
      <c r="G41" s="6">
        <v>761.39</v>
      </c>
      <c r="H41" s="6">
        <v>768.64</v>
      </c>
      <c r="I41" s="6">
        <f t="shared" si="0"/>
        <v>765.01499999999999</v>
      </c>
    </row>
    <row r="42" spans="1:9" x14ac:dyDescent="0.25">
      <c r="A42" s="5">
        <v>15.31</v>
      </c>
      <c r="B42" s="5">
        <v>48.34</v>
      </c>
      <c r="C42" s="5">
        <v>6.45</v>
      </c>
      <c r="D42" s="5">
        <v>62.84</v>
      </c>
      <c r="E42" s="5">
        <v>17.73</v>
      </c>
      <c r="F42" s="3">
        <v>373</v>
      </c>
      <c r="G42" s="6">
        <v>761.39</v>
      </c>
      <c r="H42" s="6">
        <v>765.41</v>
      </c>
      <c r="I42" s="6">
        <f t="shared" si="0"/>
        <v>763.4</v>
      </c>
    </row>
    <row r="43" spans="1:9" x14ac:dyDescent="0.25">
      <c r="A43" s="5">
        <v>16.920000000000002</v>
      </c>
      <c r="B43" s="5">
        <v>48.34</v>
      </c>
      <c r="C43" s="5">
        <v>5.64</v>
      </c>
      <c r="D43" s="5">
        <v>63.65</v>
      </c>
      <c r="E43" s="5">
        <v>16.920000000000002</v>
      </c>
      <c r="F43" s="3">
        <v>373</v>
      </c>
      <c r="G43" s="6">
        <v>760.58</v>
      </c>
      <c r="H43" s="6">
        <v>763</v>
      </c>
      <c r="I43" s="6">
        <f t="shared" si="0"/>
        <v>761.79</v>
      </c>
    </row>
    <row r="44" spans="1:9" x14ac:dyDescent="0.25">
      <c r="A44" s="5">
        <v>15.31</v>
      </c>
      <c r="B44" s="5">
        <v>49.15</v>
      </c>
      <c r="C44" s="5">
        <v>6.45</v>
      </c>
      <c r="D44" s="5">
        <v>62.84</v>
      </c>
      <c r="E44" s="5">
        <v>18.53</v>
      </c>
      <c r="F44" s="3">
        <v>373</v>
      </c>
      <c r="G44" s="6">
        <v>758.97</v>
      </c>
      <c r="H44" s="6">
        <v>763.8</v>
      </c>
      <c r="I44" s="6">
        <f t="shared" si="0"/>
        <v>761.38499999999999</v>
      </c>
    </row>
    <row r="45" spans="1:9" x14ac:dyDescent="0.25">
      <c r="A45" s="5">
        <v>18.53</v>
      </c>
      <c r="B45" s="5">
        <v>49.95</v>
      </c>
      <c r="C45" s="5">
        <v>4.83</v>
      </c>
      <c r="D45" s="5">
        <v>62.84</v>
      </c>
      <c r="E45" s="5">
        <v>17.73</v>
      </c>
      <c r="F45" s="3">
        <v>373</v>
      </c>
      <c r="G45" s="6">
        <v>757.36</v>
      </c>
      <c r="H45" s="6">
        <v>761.39</v>
      </c>
      <c r="I45" s="6">
        <f t="shared" si="0"/>
        <v>759.375</v>
      </c>
    </row>
    <row r="46" spans="1:9" x14ac:dyDescent="0.25">
      <c r="A46" s="5">
        <v>29.01</v>
      </c>
      <c r="B46" s="5">
        <v>90.24</v>
      </c>
      <c r="C46" s="5">
        <v>12.09</v>
      </c>
      <c r="D46" s="5">
        <v>116.83</v>
      </c>
      <c r="E46" s="5">
        <v>30.62</v>
      </c>
      <c r="F46" s="3">
        <f t="shared" ref="F46:F65" si="1">150+273</f>
        <v>423</v>
      </c>
      <c r="G46" s="6">
        <v>756.55</v>
      </c>
      <c r="H46" s="6">
        <v>762.19</v>
      </c>
      <c r="I46" s="6">
        <f t="shared" si="0"/>
        <v>759.37</v>
      </c>
    </row>
    <row r="47" spans="1:9" x14ac:dyDescent="0.25">
      <c r="A47" s="5">
        <v>28.2</v>
      </c>
      <c r="B47" s="5">
        <v>90.24</v>
      </c>
      <c r="C47" s="5">
        <v>13.7</v>
      </c>
      <c r="D47" s="5">
        <v>116.83</v>
      </c>
      <c r="E47" s="5">
        <v>32.229999999999997</v>
      </c>
      <c r="F47" s="3">
        <f t="shared" si="1"/>
        <v>423</v>
      </c>
      <c r="G47" s="6">
        <v>752.52</v>
      </c>
      <c r="H47" s="6">
        <v>758.16</v>
      </c>
      <c r="I47" s="6">
        <f t="shared" si="0"/>
        <v>755.33999999999992</v>
      </c>
    </row>
    <row r="48" spans="1:9" x14ac:dyDescent="0.25">
      <c r="A48" s="5">
        <v>28.2</v>
      </c>
      <c r="B48" s="5">
        <v>87.82</v>
      </c>
      <c r="C48" s="5">
        <v>13.7</v>
      </c>
      <c r="D48" s="5">
        <v>116.83</v>
      </c>
      <c r="E48" s="5">
        <v>32.229999999999997</v>
      </c>
      <c r="F48" s="3">
        <f t="shared" si="1"/>
        <v>423</v>
      </c>
      <c r="G48" s="6">
        <v>751.72</v>
      </c>
      <c r="H48" s="6">
        <v>758.16</v>
      </c>
      <c r="I48" s="6">
        <f t="shared" si="0"/>
        <v>754.94</v>
      </c>
    </row>
    <row r="49" spans="1:9" x14ac:dyDescent="0.25">
      <c r="A49" s="5">
        <v>29.01</v>
      </c>
      <c r="B49" s="5">
        <v>87.82</v>
      </c>
      <c r="C49" s="5">
        <v>12.09</v>
      </c>
      <c r="D49" s="5">
        <v>117.63</v>
      </c>
      <c r="E49" s="5">
        <v>32.229999999999997</v>
      </c>
      <c r="F49" s="3">
        <f t="shared" si="1"/>
        <v>423</v>
      </c>
      <c r="G49" s="6">
        <v>750.11</v>
      </c>
      <c r="H49" s="6">
        <v>751.72</v>
      </c>
      <c r="I49" s="6">
        <f t="shared" si="0"/>
        <v>750.91499999999996</v>
      </c>
    </row>
    <row r="50" spans="1:9" x14ac:dyDescent="0.25">
      <c r="A50" s="5">
        <v>28.2</v>
      </c>
      <c r="B50" s="5">
        <v>86.21</v>
      </c>
      <c r="C50" s="5">
        <v>11.28</v>
      </c>
      <c r="D50" s="5">
        <v>117.63</v>
      </c>
      <c r="E50" s="5">
        <v>35.450000000000003</v>
      </c>
      <c r="F50" s="3">
        <f t="shared" si="1"/>
        <v>423</v>
      </c>
      <c r="G50" s="6">
        <v>747.69</v>
      </c>
      <c r="H50" s="6">
        <v>753.33</v>
      </c>
      <c r="I50" s="6">
        <f t="shared" si="0"/>
        <v>750.51</v>
      </c>
    </row>
    <row r="51" spans="1:9" x14ac:dyDescent="0.25">
      <c r="A51" s="5">
        <v>28.2</v>
      </c>
      <c r="B51" s="5">
        <v>87.82</v>
      </c>
      <c r="C51" s="5">
        <v>12.89</v>
      </c>
      <c r="D51" s="5">
        <v>116.02</v>
      </c>
      <c r="E51" s="5">
        <v>33.03</v>
      </c>
      <c r="F51" s="3">
        <f t="shared" si="1"/>
        <v>423</v>
      </c>
      <c r="G51" s="6">
        <v>746.08</v>
      </c>
      <c r="H51" s="6">
        <v>751.72</v>
      </c>
      <c r="I51" s="6">
        <f t="shared" si="0"/>
        <v>748.90000000000009</v>
      </c>
    </row>
    <row r="52" spans="1:9" x14ac:dyDescent="0.25">
      <c r="A52" s="5">
        <v>30.62</v>
      </c>
      <c r="B52" s="5">
        <v>87.82</v>
      </c>
      <c r="C52" s="5">
        <v>12.89</v>
      </c>
      <c r="D52" s="5">
        <v>116.02</v>
      </c>
      <c r="E52" s="5">
        <v>32.229999999999997</v>
      </c>
      <c r="F52" s="3">
        <f t="shared" si="1"/>
        <v>423</v>
      </c>
      <c r="G52" s="6">
        <v>744.47</v>
      </c>
      <c r="H52" s="6">
        <v>748.5</v>
      </c>
      <c r="I52" s="6">
        <f t="shared" si="0"/>
        <v>746.48500000000001</v>
      </c>
    </row>
    <row r="53" spans="1:9" x14ac:dyDescent="0.25">
      <c r="A53" s="5">
        <v>28.2</v>
      </c>
      <c r="B53" s="5">
        <v>87.82</v>
      </c>
      <c r="C53" s="5">
        <v>11.28</v>
      </c>
      <c r="D53" s="5">
        <v>116.02</v>
      </c>
      <c r="E53" s="5">
        <v>31.42</v>
      </c>
      <c r="F53" s="3">
        <f t="shared" si="1"/>
        <v>423</v>
      </c>
      <c r="G53" s="6">
        <v>742.86</v>
      </c>
      <c r="H53" s="6">
        <v>750.91</v>
      </c>
      <c r="I53" s="6">
        <f t="shared" si="0"/>
        <v>746.88499999999999</v>
      </c>
    </row>
    <row r="54" spans="1:9" x14ac:dyDescent="0.25">
      <c r="A54" s="5">
        <v>28.2</v>
      </c>
      <c r="B54" s="5">
        <v>88.63</v>
      </c>
      <c r="C54" s="5">
        <v>12.09</v>
      </c>
      <c r="D54" s="5">
        <v>116.83</v>
      </c>
      <c r="E54" s="5">
        <v>31.42</v>
      </c>
      <c r="F54" s="3">
        <f t="shared" si="1"/>
        <v>423</v>
      </c>
      <c r="G54" s="6">
        <v>739.63</v>
      </c>
      <c r="H54" s="6">
        <v>746.08</v>
      </c>
      <c r="I54" s="6">
        <f t="shared" si="0"/>
        <v>742.85500000000002</v>
      </c>
    </row>
    <row r="55" spans="1:9" x14ac:dyDescent="0.25">
      <c r="A55" s="5">
        <v>28.2</v>
      </c>
      <c r="B55" s="5">
        <v>87.02</v>
      </c>
      <c r="C55" s="5">
        <v>12.09</v>
      </c>
      <c r="D55" s="5">
        <v>115.22</v>
      </c>
      <c r="E55" s="5">
        <v>32.229999999999997</v>
      </c>
      <c r="F55" s="3">
        <f t="shared" si="1"/>
        <v>423</v>
      </c>
      <c r="G55" s="6">
        <v>736.41</v>
      </c>
      <c r="H55" s="6">
        <v>745.27</v>
      </c>
      <c r="I55" s="6">
        <f t="shared" si="0"/>
        <v>740.83999999999992</v>
      </c>
    </row>
    <row r="56" spans="1:9" x14ac:dyDescent="0.25">
      <c r="A56" s="5">
        <v>29.01</v>
      </c>
      <c r="B56" s="5">
        <v>89.43</v>
      </c>
      <c r="C56" s="5">
        <v>12.09</v>
      </c>
      <c r="D56" s="5">
        <v>115.22</v>
      </c>
      <c r="E56" s="5">
        <v>33.03</v>
      </c>
      <c r="F56" s="3">
        <f t="shared" si="1"/>
        <v>423</v>
      </c>
      <c r="G56" s="6">
        <v>736.41</v>
      </c>
      <c r="H56" s="6">
        <v>742.86</v>
      </c>
      <c r="I56" s="6">
        <f t="shared" si="0"/>
        <v>739.63499999999999</v>
      </c>
    </row>
    <row r="57" spans="1:9" x14ac:dyDescent="0.25">
      <c r="A57" s="5">
        <v>27.39</v>
      </c>
      <c r="B57" s="5">
        <v>87.82</v>
      </c>
      <c r="C57" s="5">
        <v>11.28</v>
      </c>
      <c r="D57" s="5">
        <v>116.02</v>
      </c>
      <c r="E57" s="5">
        <v>30.62</v>
      </c>
      <c r="F57" s="3">
        <f t="shared" si="1"/>
        <v>423</v>
      </c>
      <c r="G57" s="6">
        <v>733.19</v>
      </c>
      <c r="H57" s="6">
        <v>739.63</v>
      </c>
      <c r="I57" s="6">
        <f t="shared" si="0"/>
        <v>736.41000000000008</v>
      </c>
    </row>
    <row r="58" spans="1:9" x14ac:dyDescent="0.25">
      <c r="A58" s="5">
        <v>29.81</v>
      </c>
      <c r="B58" s="5">
        <v>86.21</v>
      </c>
      <c r="C58" s="5">
        <v>13.7</v>
      </c>
      <c r="D58" s="5">
        <v>119.24</v>
      </c>
      <c r="E58" s="5">
        <v>33.03</v>
      </c>
      <c r="F58" s="3">
        <f t="shared" si="1"/>
        <v>423</v>
      </c>
      <c r="G58" s="6">
        <v>732.38</v>
      </c>
      <c r="H58" s="6">
        <v>738.02</v>
      </c>
      <c r="I58" s="6">
        <f t="shared" si="0"/>
        <v>735.2</v>
      </c>
    </row>
    <row r="59" spans="1:9" x14ac:dyDescent="0.25">
      <c r="A59" s="5">
        <v>29.81</v>
      </c>
      <c r="B59" s="5">
        <v>87.02</v>
      </c>
      <c r="C59" s="5">
        <v>12.09</v>
      </c>
      <c r="D59" s="5">
        <v>116.02</v>
      </c>
      <c r="E59" s="5">
        <v>33.03</v>
      </c>
      <c r="F59" s="3">
        <f t="shared" si="1"/>
        <v>423</v>
      </c>
      <c r="G59" s="6">
        <v>729.96</v>
      </c>
      <c r="H59" s="6">
        <v>737.22</v>
      </c>
      <c r="I59" s="6">
        <f t="shared" si="0"/>
        <v>733.59</v>
      </c>
    </row>
    <row r="60" spans="1:9" x14ac:dyDescent="0.25">
      <c r="A60" s="5">
        <v>28.2</v>
      </c>
      <c r="B60" s="5">
        <v>87.02</v>
      </c>
      <c r="C60" s="5">
        <v>11.28</v>
      </c>
      <c r="D60" s="5">
        <v>117.63</v>
      </c>
      <c r="E60" s="5">
        <v>33.03</v>
      </c>
      <c r="F60" s="3">
        <f t="shared" si="1"/>
        <v>423</v>
      </c>
      <c r="G60" s="6">
        <v>727.55</v>
      </c>
      <c r="H60" s="6">
        <v>737.22</v>
      </c>
      <c r="I60" s="6">
        <f t="shared" si="0"/>
        <v>732.38499999999999</v>
      </c>
    </row>
    <row r="61" spans="1:9" x14ac:dyDescent="0.25">
      <c r="A61" s="5">
        <v>26.59</v>
      </c>
      <c r="B61" s="5">
        <v>85.4</v>
      </c>
      <c r="C61" s="5">
        <v>10.47</v>
      </c>
      <c r="D61" s="5">
        <v>115.22</v>
      </c>
      <c r="E61" s="5">
        <v>32.229999999999997</v>
      </c>
      <c r="F61" s="3">
        <f t="shared" si="1"/>
        <v>423</v>
      </c>
      <c r="G61" s="6">
        <v>726.74</v>
      </c>
      <c r="H61" s="6">
        <v>736.41</v>
      </c>
      <c r="I61" s="6">
        <f t="shared" si="0"/>
        <v>731.57500000000005</v>
      </c>
    </row>
    <row r="62" spans="1:9" x14ac:dyDescent="0.25">
      <c r="A62" s="5">
        <v>29.81</v>
      </c>
      <c r="B62" s="5">
        <v>84.6</v>
      </c>
      <c r="C62" s="5">
        <v>12.89</v>
      </c>
      <c r="D62" s="5">
        <v>113.6</v>
      </c>
      <c r="E62" s="5">
        <v>33.840000000000003</v>
      </c>
      <c r="F62" s="3">
        <f t="shared" si="1"/>
        <v>423</v>
      </c>
      <c r="G62" s="6">
        <v>723.52</v>
      </c>
      <c r="H62" s="6">
        <v>733.99</v>
      </c>
      <c r="I62" s="6">
        <f t="shared" si="0"/>
        <v>728.755</v>
      </c>
    </row>
    <row r="63" spans="1:9" x14ac:dyDescent="0.25">
      <c r="A63" s="5">
        <v>29.01</v>
      </c>
      <c r="B63" s="5">
        <v>86.21</v>
      </c>
      <c r="C63" s="5">
        <v>12.09</v>
      </c>
      <c r="D63" s="5">
        <v>116.83</v>
      </c>
      <c r="E63" s="5">
        <v>32.229999999999997</v>
      </c>
      <c r="F63" s="3">
        <f t="shared" si="1"/>
        <v>423</v>
      </c>
      <c r="G63" s="6">
        <v>721.91</v>
      </c>
      <c r="H63" s="6">
        <v>733.19</v>
      </c>
      <c r="I63" s="6">
        <f t="shared" si="0"/>
        <v>727.55</v>
      </c>
    </row>
    <row r="64" spans="1:9" x14ac:dyDescent="0.25">
      <c r="A64" s="5">
        <v>27.39</v>
      </c>
      <c r="B64" s="5">
        <v>85.4</v>
      </c>
      <c r="C64" s="5">
        <v>12.09</v>
      </c>
      <c r="D64" s="5">
        <v>114.41</v>
      </c>
      <c r="E64" s="5">
        <v>34.65</v>
      </c>
      <c r="F64" s="3">
        <f t="shared" si="1"/>
        <v>423</v>
      </c>
      <c r="G64" s="6">
        <v>719.49</v>
      </c>
      <c r="H64" s="6">
        <v>729.96</v>
      </c>
      <c r="I64" s="6">
        <f t="shared" si="0"/>
        <v>724.72500000000002</v>
      </c>
    </row>
    <row r="65" spans="1:9" x14ac:dyDescent="0.25">
      <c r="A65" s="5">
        <v>26.59</v>
      </c>
      <c r="B65" s="5">
        <v>87.02</v>
      </c>
      <c r="C65" s="5">
        <v>12.89</v>
      </c>
      <c r="D65" s="5">
        <v>113.6</v>
      </c>
      <c r="E65" s="5">
        <v>32.229999999999997</v>
      </c>
      <c r="F65" s="3">
        <f t="shared" si="1"/>
        <v>423</v>
      </c>
      <c r="G65" s="6">
        <v>717.88</v>
      </c>
      <c r="H65" s="6">
        <v>730.77</v>
      </c>
      <c r="I65" s="6">
        <f t="shared" si="0"/>
        <v>724.32500000000005</v>
      </c>
    </row>
    <row r="66" spans="1:9" x14ac:dyDescent="0.25">
      <c r="A66" s="5">
        <v>43.51</v>
      </c>
      <c r="B66" s="5">
        <v>131.33000000000001</v>
      </c>
      <c r="C66" s="5">
        <v>23.37</v>
      </c>
      <c r="D66" s="5">
        <v>181.28</v>
      </c>
      <c r="E66" s="5">
        <v>57.2</v>
      </c>
      <c r="F66" s="3">
        <f t="shared" ref="F66:F86" si="2">200+273</f>
        <v>473</v>
      </c>
      <c r="G66" s="6">
        <v>692.1</v>
      </c>
      <c r="H66" s="6">
        <v>708.21</v>
      </c>
      <c r="I66" s="6">
        <f t="shared" si="0"/>
        <v>700.15499999999997</v>
      </c>
    </row>
    <row r="67" spans="1:9" x14ac:dyDescent="0.25">
      <c r="A67" s="5">
        <v>44.31</v>
      </c>
      <c r="B67" s="5">
        <v>132.13</v>
      </c>
      <c r="C67" s="5">
        <v>23.37</v>
      </c>
      <c r="D67" s="5">
        <v>179.67</v>
      </c>
      <c r="E67" s="5">
        <v>55.59</v>
      </c>
      <c r="F67" s="3">
        <f t="shared" si="2"/>
        <v>473</v>
      </c>
      <c r="G67" s="6">
        <v>691.29</v>
      </c>
      <c r="H67" s="6">
        <v>706.6</v>
      </c>
      <c r="I67" s="6">
        <f t="shared" si="0"/>
        <v>698.94499999999994</v>
      </c>
    </row>
    <row r="68" spans="1:9" x14ac:dyDescent="0.25">
      <c r="A68" s="5">
        <v>42.7</v>
      </c>
      <c r="B68" s="5">
        <v>130.52000000000001</v>
      </c>
      <c r="C68" s="5">
        <v>24.17</v>
      </c>
      <c r="D68" s="5">
        <v>183.7</v>
      </c>
      <c r="E68" s="5">
        <v>55.59</v>
      </c>
      <c r="F68" s="3">
        <f t="shared" si="2"/>
        <v>473</v>
      </c>
      <c r="G68" s="6">
        <v>690.48</v>
      </c>
      <c r="H68" s="6">
        <v>703.38</v>
      </c>
      <c r="I68" s="6">
        <f t="shared" si="0"/>
        <v>696.93000000000006</v>
      </c>
    </row>
    <row r="69" spans="1:9" x14ac:dyDescent="0.25">
      <c r="A69" s="5">
        <v>43.51</v>
      </c>
      <c r="B69" s="5">
        <v>132.13</v>
      </c>
      <c r="C69" s="5">
        <v>24.17</v>
      </c>
      <c r="D69" s="5">
        <v>182.09</v>
      </c>
      <c r="E69" s="5">
        <v>58.01</v>
      </c>
      <c r="F69" s="3">
        <f t="shared" si="2"/>
        <v>473</v>
      </c>
      <c r="G69" s="6">
        <v>686.46</v>
      </c>
      <c r="H69" s="6">
        <v>704.18</v>
      </c>
      <c r="I69" s="6">
        <f t="shared" si="0"/>
        <v>695.31999999999994</v>
      </c>
    </row>
    <row r="70" spans="1:9" x14ac:dyDescent="0.25">
      <c r="A70" s="5">
        <v>42.7</v>
      </c>
      <c r="B70" s="5">
        <v>130.52000000000001</v>
      </c>
      <c r="C70" s="5">
        <v>23.37</v>
      </c>
      <c r="D70" s="5">
        <v>180.48</v>
      </c>
      <c r="E70" s="5">
        <v>57.2</v>
      </c>
      <c r="F70" s="3">
        <f t="shared" si="2"/>
        <v>473</v>
      </c>
      <c r="G70" s="6">
        <v>684.04</v>
      </c>
      <c r="H70" s="6">
        <v>700.15</v>
      </c>
      <c r="I70" s="6">
        <f t="shared" si="0"/>
        <v>692.09500000000003</v>
      </c>
    </row>
    <row r="71" spans="1:9" x14ac:dyDescent="0.25">
      <c r="A71" s="5">
        <v>41.09</v>
      </c>
      <c r="B71" s="5">
        <v>126.49</v>
      </c>
      <c r="C71" s="5">
        <v>24.17</v>
      </c>
      <c r="D71" s="5">
        <v>182.09</v>
      </c>
      <c r="E71" s="5">
        <v>58.82</v>
      </c>
      <c r="F71" s="3">
        <f t="shared" si="2"/>
        <v>473</v>
      </c>
      <c r="G71" s="6">
        <v>681.62</v>
      </c>
      <c r="H71" s="6">
        <v>700.15</v>
      </c>
      <c r="I71" s="6">
        <f t="shared" si="0"/>
        <v>690.88499999999999</v>
      </c>
    </row>
    <row r="72" spans="1:9" x14ac:dyDescent="0.25">
      <c r="A72" s="5">
        <v>39.479999999999997</v>
      </c>
      <c r="B72" s="5">
        <v>129.72</v>
      </c>
      <c r="C72" s="5">
        <v>23.37</v>
      </c>
      <c r="D72" s="5">
        <v>181.28</v>
      </c>
      <c r="E72" s="5">
        <v>58.01</v>
      </c>
      <c r="F72" s="3">
        <f t="shared" si="2"/>
        <v>473</v>
      </c>
      <c r="G72" s="6">
        <v>680.01</v>
      </c>
      <c r="H72" s="6">
        <v>697.74</v>
      </c>
      <c r="I72" s="6">
        <f t="shared" si="0"/>
        <v>688.875</v>
      </c>
    </row>
    <row r="73" spans="1:9" x14ac:dyDescent="0.25">
      <c r="A73" s="5">
        <v>41.9</v>
      </c>
      <c r="B73" s="5">
        <v>127.3</v>
      </c>
      <c r="C73" s="5">
        <v>22.56</v>
      </c>
      <c r="D73" s="5">
        <v>180.48</v>
      </c>
      <c r="E73" s="5">
        <v>56.4</v>
      </c>
      <c r="F73" s="3">
        <f t="shared" si="2"/>
        <v>473</v>
      </c>
      <c r="G73" s="6">
        <v>675.18</v>
      </c>
      <c r="H73" s="6">
        <v>693.71</v>
      </c>
      <c r="I73" s="6">
        <f t="shared" si="0"/>
        <v>684.44499999999994</v>
      </c>
    </row>
    <row r="74" spans="1:9" x14ac:dyDescent="0.25">
      <c r="A74" s="5">
        <v>41.9</v>
      </c>
      <c r="B74" s="5">
        <v>125.69</v>
      </c>
      <c r="C74" s="5">
        <v>24.17</v>
      </c>
      <c r="D74" s="5">
        <v>181.28</v>
      </c>
      <c r="E74" s="5">
        <v>58.01</v>
      </c>
      <c r="F74" s="3">
        <f t="shared" si="2"/>
        <v>473</v>
      </c>
      <c r="G74" s="6">
        <v>674.37</v>
      </c>
      <c r="H74" s="6">
        <v>692.1</v>
      </c>
      <c r="I74" s="6">
        <f t="shared" si="0"/>
        <v>683.23500000000001</v>
      </c>
    </row>
    <row r="75" spans="1:9" x14ac:dyDescent="0.25">
      <c r="A75" s="5">
        <v>43.51</v>
      </c>
      <c r="B75" s="5">
        <v>130.52000000000001</v>
      </c>
      <c r="C75" s="5">
        <v>24.98</v>
      </c>
      <c r="D75" s="5">
        <v>179.67</v>
      </c>
      <c r="E75" s="5">
        <v>58.01</v>
      </c>
      <c r="F75" s="3">
        <f t="shared" si="2"/>
        <v>473</v>
      </c>
      <c r="G75" s="6">
        <v>672.76</v>
      </c>
      <c r="H75" s="6">
        <v>688.87</v>
      </c>
      <c r="I75" s="6">
        <f t="shared" si="0"/>
        <v>680.81500000000005</v>
      </c>
    </row>
    <row r="76" spans="1:9" x14ac:dyDescent="0.25">
      <c r="A76" s="5">
        <v>41.9</v>
      </c>
      <c r="B76" s="5">
        <v>128.11000000000001</v>
      </c>
      <c r="C76" s="5">
        <v>23.37</v>
      </c>
      <c r="D76" s="5">
        <v>179.67</v>
      </c>
      <c r="E76" s="5">
        <v>57.2</v>
      </c>
      <c r="F76" s="3">
        <f t="shared" si="2"/>
        <v>473</v>
      </c>
      <c r="G76" s="6">
        <v>667.12</v>
      </c>
      <c r="H76" s="6">
        <v>688.07</v>
      </c>
      <c r="I76" s="6">
        <f t="shared" si="0"/>
        <v>677.59500000000003</v>
      </c>
    </row>
    <row r="77" spans="1:9" x14ac:dyDescent="0.25">
      <c r="A77" s="5">
        <v>39.479999999999997</v>
      </c>
      <c r="B77" s="5">
        <v>127.3</v>
      </c>
      <c r="C77" s="5">
        <v>24.17</v>
      </c>
      <c r="D77" s="5">
        <v>179.67</v>
      </c>
      <c r="E77" s="5">
        <v>56.4</v>
      </c>
      <c r="F77" s="3">
        <f t="shared" si="2"/>
        <v>473</v>
      </c>
      <c r="G77" s="6">
        <v>667.93</v>
      </c>
      <c r="H77" s="6">
        <v>688.07</v>
      </c>
      <c r="I77" s="6">
        <f t="shared" si="0"/>
        <v>678</v>
      </c>
    </row>
    <row r="78" spans="1:9" x14ac:dyDescent="0.25">
      <c r="A78" s="5">
        <v>40.28</v>
      </c>
      <c r="B78" s="5">
        <v>128.11000000000001</v>
      </c>
      <c r="C78" s="5">
        <v>23.37</v>
      </c>
      <c r="D78" s="5">
        <v>178.87</v>
      </c>
      <c r="E78" s="5">
        <v>57.2</v>
      </c>
      <c r="F78" s="3">
        <f t="shared" si="2"/>
        <v>473</v>
      </c>
      <c r="G78" s="6">
        <v>663.9</v>
      </c>
      <c r="H78" s="6">
        <v>684.85</v>
      </c>
      <c r="I78" s="6">
        <f t="shared" si="0"/>
        <v>674.375</v>
      </c>
    </row>
    <row r="79" spans="1:9" x14ac:dyDescent="0.25">
      <c r="A79" s="5">
        <v>42.7</v>
      </c>
      <c r="B79" s="5">
        <v>128.91</v>
      </c>
      <c r="C79" s="5">
        <v>21.75</v>
      </c>
      <c r="D79" s="5">
        <v>181.28</v>
      </c>
      <c r="E79" s="5">
        <v>58.01</v>
      </c>
      <c r="F79" s="3">
        <f t="shared" si="2"/>
        <v>473</v>
      </c>
      <c r="G79" s="6">
        <v>664.7</v>
      </c>
      <c r="H79" s="6">
        <v>682.43</v>
      </c>
      <c r="I79" s="6">
        <f t="shared" si="0"/>
        <v>673.56500000000005</v>
      </c>
    </row>
    <row r="80" spans="1:9" x14ac:dyDescent="0.25">
      <c r="A80" s="5">
        <v>40.28</v>
      </c>
      <c r="B80" s="5">
        <v>128.11000000000001</v>
      </c>
      <c r="C80" s="5">
        <v>22.56</v>
      </c>
      <c r="D80" s="5">
        <v>179.67</v>
      </c>
      <c r="E80" s="5">
        <v>58.01</v>
      </c>
      <c r="F80" s="3">
        <f t="shared" si="2"/>
        <v>473</v>
      </c>
      <c r="G80" s="6">
        <v>660.67</v>
      </c>
      <c r="H80" s="6">
        <v>680.82</v>
      </c>
      <c r="I80" s="6">
        <f t="shared" si="0"/>
        <v>670.745</v>
      </c>
    </row>
    <row r="81" spans="1:9" x14ac:dyDescent="0.25">
      <c r="A81" s="5">
        <v>40.28</v>
      </c>
      <c r="B81" s="5">
        <v>124.88</v>
      </c>
      <c r="C81" s="5">
        <v>23.37</v>
      </c>
      <c r="D81" s="5">
        <v>179.67</v>
      </c>
      <c r="E81" s="5">
        <v>58.82</v>
      </c>
      <c r="F81" s="3">
        <f t="shared" si="2"/>
        <v>473</v>
      </c>
      <c r="G81" s="6">
        <v>655.84</v>
      </c>
      <c r="H81" s="6">
        <v>679.21</v>
      </c>
      <c r="I81" s="6">
        <f t="shared" si="0"/>
        <v>667.52500000000009</v>
      </c>
    </row>
    <row r="82" spans="1:9" x14ac:dyDescent="0.25">
      <c r="A82" s="5">
        <v>37.869999999999997</v>
      </c>
      <c r="B82" s="5">
        <v>124.88</v>
      </c>
      <c r="C82" s="5">
        <v>23.37</v>
      </c>
      <c r="D82" s="5">
        <v>179.67</v>
      </c>
      <c r="E82" s="5">
        <v>58.01</v>
      </c>
      <c r="F82" s="3">
        <f t="shared" si="2"/>
        <v>473</v>
      </c>
      <c r="G82" s="6">
        <v>656.65</v>
      </c>
      <c r="H82" s="6">
        <v>677.59</v>
      </c>
      <c r="I82" s="6">
        <f t="shared" si="0"/>
        <v>667.12</v>
      </c>
    </row>
    <row r="83" spans="1:9" x14ac:dyDescent="0.25">
      <c r="A83" s="5">
        <v>38.67</v>
      </c>
      <c r="B83" s="5">
        <v>124.88</v>
      </c>
      <c r="C83" s="5">
        <v>21.75</v>
      </c>
      <c r="D83" s="5">
        <v>178.87</v>
      </c>
      <c r="E83" s="5">
        <v>58.01</v>
      </c>
      <c r="F83" s="3">
        <f t="shared" si="2"/>
        <v>473</v>
      </c>
      <c r="G83" s="6">
        <v>654.23</v>
      </c>
      <c r="H83" s="6">
        <v>674.37</v>
      </c>
      <c r="I83" s="6">
        <f t="shared" si="0"/>
        <v>664.3</v>
      </c>
    </row>
    <row r="84" spans="1:9" x14ac:dyDescent="0.25">
      <c r="A84" s="5">
        <v>41.09</v>
      </c>
      <c r="B84" s="5">
        <v>126.49</v>
      </c>
      <c r="C84" s="5">
        <v>22.56</v>
      </c>
      <c r="D84" s="5">
        <v>179.67</v>
      </c>
      <c r="E84" s="5">
        <v>58.01</v>
      </c>
      <c r="F84" s="3">
        <f t="shared" si="2"/>
        <v>473</v>
      </c>
      <c r="G84" s="6">
        <v>650.20000000000005</v>
      </c>
      <c r="H84" s="6">
        <v>672.76</v>
      </c>
      <c r="I84" s="6">
        <f t="shared" si="0"/>
        <v>661.48</v>
      </c>
    </row>
    <row r="85" spans="1:9" x14ac:dyDescent="0.25">
      <c r="A85" s="5">
        <v>38.67</v>
      </c>
      <c r="B85" s="5">
        <v>125.69</v>
      </c>
      <c r="C85" s="5">
        <v>24.98</v>
      </c>
      <c r="D85" s="5">
        <v>179.67</v>
      </c>
      <c r="E85" s="5">
        <v>53.98</v>
      </c>
      <c r="F85" s="3">
        <f t="shared" si="2"/>
        <v>473</v>
      </c>
      <c r="G85" s="6">
        <v>650.20000000000005</v>
      </c>
      <c r="H85" s="6">
        <v>668.73</v>
      </c>
      <c r="I85" s="6">
        <f t="shared" si="0"/>
        <v>659.46500000000003</v>
      </c>
    </row>
    <row r="86" spans="1:9" x14ac:dyDescent="0.25">
      <c r="A86" s="5">
        <v>38.67</v>
      </c>
      <c r="B86" s="5">
        <v>125.69</v>
      </c>
      <c r="C86" s="5">
        <v>24.17</v>
      </c>
      <c r="D86" s="5">
        <v>178.06</v>
      </c>
      <c r="E86" s="5">
        <v>56.4</v>
      </c>
      <c r="F86" s="3">
        <f t="shared" si="2"/>
        <v>473</v>
      </c>
      <c r="G86" s="6">
        <v>649.39</v>
      </c>
      <c r="H86" s="6">
        <v>667.93</v>
      </c>
      <c r="I86" s="6">
        <f t="shared" si="0"/>
        <v>658.66</v>
      </c>
    </row>
    <row r="87" spans="1:9" x14ac:dyDescent="0.25">
      <c r="A87" s="5">
        <v>58.01</v>
      </c>
      <c r="B87" s="5">
        <v>175.64</v>
      </c>
      <c r="C87" s="5">
        <v>44.31</v>
      </c>
      <c r="D87" s="5">
        <v>257.02</v>
      </c>
      <c r="E87" s="5">
        <v>93.46</v>
      </c>
      <c r="F87" s="3">
        <f t="shared" ref="F87:F106" si="3">250+273</f>
        <v>523</v>
      </c>
      <c r="G87" s="6">
        <v>663.9</v>
      </c>
      <c r="H87" s="6">
        <v>677.59</v>
      </c>
      <c r="I87" s="6">
        <f t="shared" si="0"/>
        <v>670.745</v>
      </c>
    </row>
    <row r="88" spans="1:9" x14ac:dyDescent="0.25">
      <c r="A88" s="5">
        <v>58.82</v>
      </c>
      <c r="B88" s="5">
        <v>175.64</v>
      </c>
      <c r="C88" s="5">
        <v>42.7</v>
      </c>
      <c r="D88" s="5">
        <v>257.02</v>
      </c>
      <c r="E88" s="5">
        <v>90.24</v>
      </c>
      <c r="F88" s="3">
        <f t="shared" si="3"/>
        <v>523</v>
      </c>
      <c r="G88" s="6">
        <v>659.87</v>
      </c>
      <c r="H88" s="6">
        <v>675.18</v>
      </c>
      <c r="I88" s="6">
        <f t="shared" si="0"/>
        <v>667.52499999999998</v>
      </c>
    </row>
    <row r="89" spans="1:9" x14ac:dyDescent="0.25">
      <c r="A89" s="5">
        <v>58.82</v>
      </c>
      <c r="B89" s="5">
        <v>175.64</v>
      </c>
      <c r="C89" s="5">
        <v>42.7</v>
      </c>
      <c r="D89" s="5">
        <v>257.02</v>
      </c>
      <c r="E89" s="5">
        <v>91.04</v>
      </c>
      <c r="F89" s="3">
        <f t="shared" si="3"/>
        <v>523</v>
      </c>
      <c r="G89" s="6">
        <v>657.45</v>
      </c>
      <c r="H89" s="6">
        <v>672.76</v>
      </c>
      <c r="I89" s="6">
        <f t="shared" si="0"/>
        <v>665.10500000000002</v>
      </c>
    </row>
    <row r="90" spans="1:9" x14ac:dyDescent="0.25">
      <c r="A90" s="5">
        <v>58.01</v>
      </c>
      <c r="B90" s="5">
        <v>177.25</v>
      </c>
      <c r="C90" s="5">
        <v>43.51</v>
      </c>
      <c r="D90" s="5">
        <v>257.82</v>
      </c>
      <c r="E90" s="5">
        <v>90.24</v>
      </c>
      <c r="F90" s="3">
        <f t="shared" si="3"/>
        <v>523</v>
      </c>
      <c r="G90" s="6">
        <v>653.41999999999996</v>
      </c>
      <c r="H90" s="6">
        <v>668.73</v>
      </c>
      <c r="I90" s="6">
        <f t="shared" si="0"/>
        <v>661.07500000000005</v>
      </c>
    </row>
    <row r="91" spans="1:9" x14ac:dyDescent="0.25">
      <c r="A91" s="5">
        <v>58.82</v>
      </c>
      <c r="B91" s="5">
        <v>174.84</v>
      </c>
      <c r="C91" s="5">
        <v>43.51</v>
      </c>
      <c r="D91" s="5">
        <v>257.02</v>
      </c>
      <c r="E91" s="5">
        <v>91.85</v>
      </c>
      <c r="F91" s="3">
        <f t="shared" si="3"/>
        <v>523</v>
      </c>
      <c r="G91" s="6">
        <v>648.59</v>
      </c>
      <c r="H91" s="6">
        <v>666.31</v>
      </c>
      <c r="I91" s="6">
        <f t="shared" si="0"/>
        <v>657.45</v>
      </c>
    </row>
    <row r="92" spans="1:9" x14ac:dyDescent="0.25">
      <c r="A92" s="5">
        <v>58.01</v>
      </c>
      <c r="B92" s="5">
        <v>175.64</v>
      </c>
      <c r="C92" s="5">
        <v>43.51</v>
      </c>
      <c r="D92" s="5">
        <v>258.63</v>
      </c>
      <c r="E92" s="5">
        <v>91.04</v>
      </c>
      <c r="F92" s="3">
        <f t="shared" si="3"/>
        <v>523</v>
      </c>
      <c r="G92" s="6">
        <v>648.59</v>
      </c>
      <c r="H92" s="6">
        <v>664.7</v>
      </c>
      <c r="I92" s="6">
        <f t="shared" ref="I92:I155" si="4">AVERAGE(G92:H92)</f>
        <v>656.64499999999998</v>
      </c>
    </row>
    <row r="93" spans="1:9" x14ac:dyDescent="0.25">
      <c r="A93" s="5">
        <v>53.98</v>
      </c>
      <c r="B93" s="5">
        <v>173.23</v>
      </c>
      <c r="C93" s="5">
        <v>44.31</v>
      </c>
      <c r="D93" s="5">
        <v>256.20999999999998</v>
      </c>
      <c r="E93" s="5">
        <v>91.04</v>
      </c>
      <c r="F93" s="3">
        <f t="shared" si="3"/>
        <v>523</v>
      </c>
      <c r="G93" s="6">
        <v>645.37</v>
      </c>
      <c r="H93" s="6">
        <v>659.87</v>
      </c>
      <c r="I93" s="6">
        <f t="shared" si="4"/>
        <v>652.62</v>
      </c>
    </row>
    <row r="94" spans="1:9" x14ac:dyDescent="0.25">
      <c r="A94" s="5">
        <v>57.2</v>
      </c>
      <c r="B94" s="5">
        <v>172.42</v>
      </c>
      <c r="C94" s="5">
        <v>44.31</v>
      </c>
      <c r="D94" s="5">
        <v>257.02</v>
      </c>
      <c r="E94" s="5">
        <v>95.07</v>
      </c>
      <c r="F94" s="3">
        <f t="shared" si="3"/>
        <v>523</v>
      </c>
      <c r="G94" s="6">
        <v>641.34</v>
      </c>
      <c r="H94" s="6">
        <v>656.65</v>
      </c>
      <c r="I94" s="6">
        <f t="shared" si="4"/>
        <v>648.995</v>
      </c>
    </row>
    <row r="95" spans="1:9" x14ac:dyDescent="0.25">
      <c r="A95" s="5">
        <v>59.62</v>
      </c>
      <c r="B95" s="5">
        <v>174.03</v>
      </c>
      <c r="C95" s="5">
        <v>44.31</v>
      </c>
      <c r="D95" s="5">
        <v>257.02</v>
      </c>
      <c r="E95" s="5">
        <v>92.66</v>
      </c>
      <c r="F95" s="3">
        <f t="shared" si="3"/>
        <v>523</v>
      </c>
      <c r="G95" s="6">
        <v>638.11</v>
      </c>
      <c r="H95" s="6">
        <v>654.23</v>
      </c>
      <c r="I95" s="6">
        <f t="shared" si="4"/>
        <v>646.17000000000007</v>
      </c>
    </row>
    <row r="96" spans="1:9" x14ac:dyDescent="0.25">
      <c r="A96" s="5">
        <v>56.4</v>
      </c>
      <c r="B96" s="5">
        <v>171.61</v>
      </c>
      <c r="C96" s="5">
        <v>42.7</v>
      </c>
      <c r="D96" s="5">
        <v>256.20999999999998</v>
      </c>
      <c r="E96" s="5">
        <v>91.04</v>
      </c>
      <c r="F96" s="3">
        <f t="shared" si="3"/>
        <v>523</v>
      </c>
      <c r="G96" s="6">
        <v>632.47</v>
      </c>
      <c r="H96" s="6">
        <v>652.62</v>
      </c>
      <c r="I96" s="6">
        <f t="shared" si="4"/>
        <v>642.54500000000007</v>
      </c>
    </row>
    <row r="97" spans="1:9" x14ac:dyDescent="0.25">
      <c r="A97" s="5">
        <v>58.82</v>
      </c>
      <c r="B97" s="5">
        <v>174.03</v>
      </c>
      <c r="C97" s="5">
        <v>43.51</v>
      </c>
      <c r="D97" s="5">
        <v>257.02</v>
      </c>
      <c r="E97" s="5">
        <v>89.43</v>
      </c>
      <c r="F97" s="3">
        <f t="shared" si="3"/>
        <v>523</v>
      </c>
      <c r="G97" s="6">
        <v>633.28</v>
      </c>
      <c r="H97" s="6">
        <v>648.59</v>
      </c>
      <c r="I97" s="6">
        <f t="shared" si="4"/>
        <v>640.93499999999995</v>
      </c>
    </row>
    <row r="98" spans="1:9" x14ac:dyDescent="0.25">
      <c r="A98" s="5">
        <v>55.59</v>
      </c>
      <c r="B98" s="5">
        <v>172.42</v>
      </c>
      <c r="C98" s="5">
        <v>42.7</v>
      </c>
      <c r="D98" s="5">
        <v>253.8</v>
      </c>
      <c r="E98" s="5">
        <v>91.85</v>
      </c>
      <c r="F98" s="3">
        <f t="shared" si="3"/>
        <v>523</v>
      </c>
      <c r="G98" s="6">
        <v>629.25</v>
      </c>
      <c r="H98" s="6">
        <v>644.55999999999995</v>
      </c>
      <c r="I98" s="6">
        <f t="shared" si="4"/>
        <v>636.90499999999997</v>
      </c>
    </row>
    <row r="99" spans="1:9" x14ac:dyDescent="0.25">
      <c r="A99" s="5">
        <v>56.4</v>
      </c>
      <c r="B99" s="5">
        <v>171.61</v>
      </c>
      <c r="C99" s="5">
        <v>45.92</v>
      </c>
      <c r="D99" s="5">
        <v>257.02</v>
      </c>
      <c r="E99" s="5">
        <v>93.46</v>
      </c>
      <c r="F99" s="3">
        <f t="shared" si="3"/>
        <v>523</v>
      </c>
      <c r="G99" s="6">
        <v>624.41999999999996</v>
      </c>
      <c r="H99" s="6">
        <v>642.95000000000005</v>
      </c>
      <c r="I99" s="6">
        <f t="shared" si="4"/>
        <v>633.68499999999995</v>
      </c>
    </row>
    <row r="100" spans="1:9" x14ac:dyDescent="0.25">
      <c r="A100" s="5">
        <v>54.79</v>
      </c>
      <c r="B100" s="5">
        <v>173.23</v>
      </c>
      <c r="C100" s="5">
        <v>42.7</v>
      </c>
      <c r="D100" s="5">
        <v>256.20999999999998</v>
      </c>
      <c r="E100" s="5">
        <v>91.85</v>
      </c>
      <c r="F100" s="3">
        <f t="shared" si="3"/>
        <v>523</v>
      </c>
      <c r="G100" s="6">
        <v>623.61</v>
      </c>
      <c r="H100" s="6">
        <v>640.53</v>
      </c>
      <c r="I100" s="6">
        <f t="shared" si="4"/>
        <v>632.06999999999994</v>
      </c>
    </row>
    <row r="101" spans="1:9" x14ac:dyDescent="0.25">
      <c r="A101" s="5">
        <v>55.59</v>
      </c>
      <c r="B101" s="5">
        <v>171.61</v>
      </c>
      <c r="C101" s="5">
        <v>43.51</v>
      </c>
      <c r="D101" s="5">
        <v>257.02</v>
      </c>
      <c r="E101" s="5">
        <v>91.85</v>
      </c>
      <c r="F101" s="3">
        <f t="shared" si="3"/>
        <v>523</v>
      </c>
      <c r="G101" s="6">
        <v>620.39</v>
      </c>
      <c r="H101" s="6">
        <v>639.73</v>
      </c>
      <c r="I101" s="6">
        <f t="shared" si="4"/>
        <v>630.05999999999995</v>
      </c>
    </row>
    <row r="102" spans="1:9" x14ac:dyDescent="0.25">
      <c r="A102" s="5">
        <v>55.59</v>
      </c>
      <c r="B102" s="5">
        <v>170.81</v>
      </c>
      <c r="C102" s="5">
        <v>41.9</v>
      </c>
      <c r="D102" s="5">
        <v>256.20999999999998</v>
      </c>
      <c r="E102" s="5">
        <v>93.46</v>
      </c>
      <c r="F102" s="3">
        <f t="shared" si="3"/>
        <v>523</v>
      </c>
      <c r="G102" s="6">
        <v>615.54999999999995</v>
      </c>
      <c r="H102" s="6">
        <v>637.30999999999995</v>
      </c>
      <c r="I102" s="6">
        <f t="shared" si="4"/>
        <v>626.42999999999995</v>
      </c>
    </row>
    <row r="103" spans="1:9" x14ac:dyDescent="0.25">
      <c r="A103" s="5">
        <v>53.18</v>
      </c>
      <c r="B103" s="5">
        <v>170.81</v>
      </c>
      <c r="C103" s="5">
        <v>45.12</v>
      </c>
      <c r="D103" s="5">
        <v>256.20999999999998</v>
      </c>
      <c r="E103" s="5">
        <v>91.04</v>
      </c>
      <c r="F103" s="3">
        <f t="shared" si="3"/>
        <v>523</v>
      </c>
      <c r="G103" s="6">
        <v>614.75</v>
      </c>
      <c r="H103" s="6">
        <v>635.70000000000005</v>
      </c>
      <c r="I103" s="6">
        <f t="shared" si="4"/>
        <v>625.22500000000002</v>
      </c>
    </row>
    <row r="104" spans="1:9" x14ac:dyDescent="0.25">
      <c r="A104" s="5">
        <v>53.18</v>
      </c>
      <c r="B104" s="5">
        <v>169.2</v>
      </c>
      <c r="C104" s="5">
        <v>42.7</v>
      </c>
      <c r="D104" s="5">
        <v>254.6</v>
      </c>
      <c r="E104" s="5">
        <v>93.46</v>
      </c>
      <c r="F104" s="3">
        <f t="shared" si="3"/>
        <v>523</v>
      </c>
      <c r="G104" s="6">
        <v>610.72</v>
      </c>
      <c r="H104" s="6">
        <v>633.28</v>
      </c>
      <c r="I104" s="6">
        <f t="shared" si="4"/>
        <v>622</v>
      </c>
    </row>
    <row r="105" spans="1:9" x14ac:dyDescent="0.25">
      <c r="A105" s="5">
        <v>53.98</v>
      </c>
      <c r="B105" s="5">
        <v>170</v>
      </c>
      <c r="C105" s="5">
        <v>41.9</v>
      </c>
      <c r="D105" s="5">
        <v>254.6</v>
      </c>
      <c r="E105" s="5">
        <v>91.85</v>
      </c>
      <c r="F105" s="3">
        <f t="shared" si="3"/>
        <v>523</v>
      </c>
      <c r="G105" s="6">
        <v>611.53</v>
      </c>
      <c r="H105" s="6">
        <v>628.45000000000005</v>
      </c>
      <c r="I105" s="6">
        <f t="shared" si="4"/>
        <v>619.99</v>
      </c>
    </row>
    <row r="106" spans="1:9" x14ac:dyDescent="0.25">
      <c r="A106" s="5">
        <v>55.59</v>
      </c>
      <c r="B106" s="5">
        <v>170</v>
      </c>
      <c r="C106" s="5">
        <v>43.51</v>
      </c>
      <c r="D106" s="5">
        <v>255.41</v>
      </c>
      <c r="E106" s="5">
        <v>90.24</v>
      </c>
      <c r="F106" s="3">
        <f t="shared" si="3"/>
        <v>523</v>
      </c>
      <c r="G106" s="6">
        <v>604.28</v>
      </c>
      <c r="H106" s="6">
        <v>625.22</v>
      </c>
      <c r="I106" s="6">
        <f t="shared" si="4"/>
        <v>614.75</v>
      </c>
    </row>
    <row r="107" spans="1:9" x14ac:dyDescent="0.25">
      <c r="A107" s="5">
        <v>72.510000000000005</v>
      </c>
      <c r="B107" s="5">
        <v>217.54</v>
      </c>
      <c r="C107" s="5">
        <v>72.510000000000005</v>
      </c>
      <c r="D107" s="5">
        <v>345.65</v>
      </c>
      <c r="E107" s="5">
        <v>136.97</v>
      </c>
      <c r="F107" s="3">
        <f t="shared" ref="F107:F126" si="5">300+273</f>
        <v>573</v>
      </c>
      <c r="G107" s="6">
        <v>580.91</v>
      </c>
      <c r="H107" s="6">
        <v>606.69000000000005</v>
      </c>
      <c r="I107" s="6">
        <f t="shared" si="4"/>
        <v>593.79999999999995</v>
      </c>
    </row>
    <row r="108" spans="1:9" x14ac:dyDescent="0.25">
      <c r="A108" s="5">
        <v>77.349999999999994</v>
      </c>
      <c r="B108" s="5">
        <v>223.18</v>
      </c>
      <c r="C108" s="5">
        <v>72.510000000000005</v>
      </c>
      <c r="D108" s="5">
        <v>344.03</v>
      </c>
      <c r="E108" s="5">
        <v>137.77000000000001</v>
      </c>
      <c r="F108" s="3">
        <f t="shared" si="5"/>
        <v>573</v>
      </c>
      <c r="G108" s="6">
        <v>580.1</v>
      </c>
      <c r="H108" s="6">
        <v>605.08000000000004</v>
      </c>
      <c r="I108" s="6">
        <f t="shared" si="4"/>
        <v>592.59</v>
      </c>
    </row>
    <row r="109" spans="1:9" x14ac:dyDescent="0.25">
      <c r="A109" s="5">
        <v>80.569999999999993</v>
      </c>
      <c r="B109" s="5">
        <v>225.6</v>
      </c>
      <c r="C109" s="5">
        <v>73.319999999999993</v>
      </c>
      <c r="D109" s="5">
        <v>343.23</v>
      </c>
      <c r="E109" s="5">
        <v>136.97</v>
      </c>
      <c r="F109" s="3">
        <f t="shared" si="5"/>
        <v>573</v>
      </c>
      <c r="G109" s="6">
        <v>576.08000000000004</v>
      </c>
      <c r="H109" s="6">
        <v>601.04999999999995</v>
      </c>
      <c r="I109" s="6">
        <f t="shared" si="4"/>
        <v>588.56500000000005</v>
      </c>
    </row>
    <row r="110" spans="1:9" x14ac:dyDescent="0.25">
      <c r="A110" s="5">
        <v>81.38</v>
      </c>
      <c r="B110" s="5">
        <v>228.01</v>
      </c>
      <c r="C110" s="5">
        <v>73.319999999999993</v>
      </c>
      <c r="D110" s="5">
        <v>342.42</v>
      </c>
      <c r="E110" s="5">
        <v>138.58000000000001</v>
      </c>
      <c r="F110" s="3">
        <f t="shared" si="5"/>
        <v>573</v>
      </c>
      <c r="G110" s="6">
        <v>573.66</v>
      </c>
      <c r="H110" s="6">
        <v>597.02</v>
      </c>
      <c r="I110" s="6">
        <f t="shared" si="4"/>
        <v>585.33999999999992</v>
      </c>
    </row>
    <row r="111" spans="1:9" x14ac:dyDescent="0.25">
      <c r="A111" s="5">
        <v>81.38</v>
      </c>
      <c r="B111" s="5">
        <v>224.79</v>
      </c>
      <c r="C111" s="5">
        <v>71.709999999999994</v>
      </c>
      <c r="D111" s="5">
        <v>340.01</v>
      </c>
      <c r="E111" s="5">
        <v>137.77000000000001</v>
      </c>
      <c r="F111" s="3">
        <f t="shared" si="5"/>
        <v>573</v>
      </c>
      <c r="G111" s="6">
        <v>568.02</v>
      </c>
      <c r="H111" s="6">
        <v>591.38</v>
      </c>
      <c r="I111" s="6">
        <f t="shared" si="4"/>
        <v>579.70000000000005</v>
      </c>
    </row>
    <row r="112" spans="1:9" x14ac:dyDescent="0.25">
      <c r="A112" s="5">
        <v>78.959999999999994</v>
      </c>
      <c r="B112" s="5">
        <v>224.79</v>
      </c>
      <c r="C112" s="5">
        <v>74.12</v>
      </c>
      <c r="D112" s="5">
        <v>340.81</v>
      </c>
      <c r="E112" s="5">
        <v>137.77000000000001</v>
      </c>
      <c r="F112" s="3">
        <f t="shared" si="5"/>
        <v>573</v>
      </c>
      <c r="G112" s="6">
        <v>563.99</v>
      </c>
      <c r="H112" s="6">
        <v>588.97</v>
      </c>
      <c r="I112" s="6">
        <f t="shared" si="4"/>
        <v>576.48</v>
      </c>
    </row>
    <row r="113" spans="1:9" x14ac:dyDescent="0.25">
      <c r="A113" s="5">
        <v>80.569999999999993</v>
      </c>
      <c r="B113" s="5">
        <v>225.6</v>
      </c>
      <c r="C113" s="5">
        <v>71.709999999999994</v>
      </c>
      <c r="D113" s="5">
        <v>339.2</v>
      </c>
      <c r="E113" s="5">
        <v>139.38999999999999</v>
      </c>
      <c r="F113" s="3">
        <f t="shared" si="5"/>
        <v>573</v>
      </c>
      <c r="G113" s="6">
        <v>561.57000000000005</v>
      </c>
      <c r="H113" s="6">
        <v>587.36</v>
      </c>
      <c r="I113" s="6">
        <f t="shared" si="4"/>
        <v>574.46500000000003</v>
      </c>
    </row>
    <row r="114" spans="1:9" x14ac:dyDescent="0.25">
      <c r="A114" s="5">
        <v>81.38</v>
      </c>
      <c r="B114" s="5">
        <v>223.18</v>
      </c>
      <c r="C114" s="5">
        <v>74.12</v>
      </c>
      <c r="D114" s="5">
        <v>341.62</v>
      </c>
      <c r="E114" s="5">
        <v>136.97</v>
      </c>
      <c r="F114" s="3">
        <f t="shared" si="5"/>
        <v>573</v>
      </c>
      <c r="G114" s="6">
        <v>557.54</v>
      </c>
      <c r="H114" s="6">
        <v>584.13</v>
      </c>
      <c r="I114" s="6">
        <f t="shared" si="4"/>
        <v>570.83500000000004</v>
      </c>
    </row>
    <row r="115" spans="1:9" x14ac:dyDescent="0.25">
      <c r="A115" s="5">
        <v>81.38</v>
      </c>
      <c r="B115" s="5">
        <v>223.18</v>
      </c>
      <c r="C115" s="5">
        <v>72.510000000000005</v>
      </c>
      <c r="D115" s="5">
        <v>342.42</v>
      </c>
      <c r="E115" s="5">
        <v>135.36000000000001</v>
      </c>
      <c r="F115" s="3">
        <f t="shared" si="5"/>
        <v>573</v>
      </c>
      <c r="G115" s="6">
        <v>550.29</v>
      </c>
      <c r="H115" s="6">
        <v>581.72</v>
      </c>
      <c r="I115" s="6">
        <f t="shared" si="4"/>
        <v>566.005</v>
      </c>
    </row>
    <row r="116" spans="1:9" x14ac:dyDescent="0.25">
      <c r="A116" s="5">
        <v>78.150000000000006</v>
      </c>
      <c r="B116" s="5">
        <v>224.79</v>
      </c>
      <c r="C116" s="5">
        <v>72.510000000000005</v>
      </c>
      <c r="D116" s="5">
        <v>341.62</v>
      </c>
      <c r="E116" s="5">
        <v>139.38999999999999</v>
      </c>
      <c r="F116" s="3">
        <f t="shared" si="5"/>
        <v>573</v>
      </c>
      <c r="G116" s="6">
        <v>547.88</v>
      </c>
      <c r="H116" s="6">
        <v>576.88</v>
      </c>
      <c r="I116" s="6">
        <f t="shared" si="4"/>
        <v>562.38</v>
      </c>
    </row>
    <row r="117" spans="1:9" x14ac:dyDescent="0.25">
      <c r="A117" s="5">
        <v>80.569999999999993</v>
      </c>
      <c r="B117" s="5">
        <v>224.79</v>
      </c>
      <c r="C117" s="5">
        <v>74.12</v>
      </c>
      <c r="D117" s="5">
        <v>342.42</v>
      </c>
      <c r="E117" s="5">
        <v>136.16</v>
      </c>
      <c r="F117" s="3">
        <f t="shared" si="5"/>
        <v>573</v>
      </c>
      <c r="G117" s="6">
        <v>545.46</v>
      </c>
      <c r="H117" s="6">
        <v>574.46</v>
      </c>
      <c r="I117" s="6">
        <f t="shared" si="4"/>
        <v>559.96</v>
      </c>
    </row>
    <row r="118" spans="1:9" x14ac:dyDescent="0.25">
      <c r="A118" s="5">
        <v>78.959999999999994</v>
      </c>
      <c r="B118" s="5">
        <v>219.96</v>
      </c>
      <c r="C118" s="5">
        <v>74.12</v>
      </c>
      <c r="D118" s="5">
        <v>342.42</v>
      </c>
      <c r="E118" s="5">
        <v>137.77000000000001</v>
      </c>
      <c r="F118" s="3">
        <f t="shared" si="5"/>
        <v>573</v>
      </c>
      <c r="G118" s="6">
        <v>545.46</v>
      </c>
      <c r="H118" s="6">
        <v>574.46</v>
      </c>
      <c r="I118" s="6">
        <f t="shared" si="4"/>
        <v>559.96</v>
      </c>
    </row>
    <row r="119" spans="1:9" x14ac:dyDescent="0.25">
      <c r="A119" s="5">
        <v>75.739999999999995</v>
      </c>
      <c r="B119" s="5">
        <v>219.96</v>
      </c>
      <c r="C119" s="5">
        <v>74.12</v>
      </c>
      <c r="D119" s="5">
        <v>340.81</v>
      </c>
      <c r="E119" s="5">
        <v>136.16</v>
      </c>
      <c r="F119" s="3">
        <f t="shared" si="5"/>
        <v>573</v>
      </c>
      <c r="G119" s="6">
        <v>539.01</v>
      </c>
      <c r="H119" s="6">
        <v>568.82000000000005</v>
      </c>
      <c r="I119" s="6">
        <f t="shared" si="4"/>
        <v>553.91499999999996</v>
      </c>
    </row>
    <row r="120" spans="1:9" x14ac:dyDescent="0.25">
      <c r="A120" s="5">
        <v>78.150000000000006</v>
      </c>
      <c r="B120" s="5">
        <v>220.76</v>
      </c>
      <c r="C120" s="5">
        <v>74.12</v>
      </c>
      <c r="D120" s="5">
        <v>339.2</v>
      </c>
      <c r="E120" s="5">
        <v>136.16</v>
      </c>
      <c r="F120" s="3">
        <f t="shared" si="5"/>
        <v>573</v>
      </c>
      <c r="G120" s="6">
        <v>534.17999999999995</v>
      </c>
      <c r="H120" s="6">
        <v>566.41</v>
      </c>
      <c r="I120" s="6">
        <f t="shared" si="4"/>
        <v>550.29499999999996</v>
      </c>
    </row>
    <row r="121" spans="1:9" x14ac:dyDescent="0.25">
      <c r="A121" s="5">
        <v>75.739999999999995</v>
      </c>
      <c r="B121" s="5">
        <v>217.54</v>
      </c>
      <c r="C121" s="5">
        <v>74.930000000000007</v>
      </c>
      <c r="D121" s="5">
        <v>340.81</v>
      </c>
      <c r="E121" s="5">
        <v>139.38999999999999</v>
      </c>
      <c r="F121" s="3">
        <f t="shared" si="5"/>
        <v>573</v>
      </c>
      <c r="G121" s="6">
        <v>534.17999999999995</v>
      </c>
      <c r="H121" s="6">
        <v>564.79999999999995</v>
      </c>
      <c r="I121" s="6">
        <f t="shared" si="4"/>
        <v>549.49</v>
      </c>
    </row>
    <row r="122" spans="1:9" x14ac:dyDescent="0.25">
      <c r="A122" s="5">
        <v>78.959999999999994</v>
      </c>
      <c r="B122" s="5">
        <v>218.34</v>
      </c>
      <c r="C122" s="5">
        <v>74.12</v>
      </c>
      <c r="D122" s="5">
        <v>340.01</v>
      </c>
      <c r="E122" s="5">
        <v>137.77000000000001</v>
      </c>
      <c r="F122" s="3">
        <f t="shared" si="5"/>
        <v>573</v>
      </c>
      <c r="G122" s="6">
        <v>530.15</v>
      </c>
      <c r="H122" s="6">
        <v>562.38</v>
      </c>
      <c r="I122" s="6">
        <f t="shared" si="4"/>
        <v>546.26499999999999</v>
      </c>
    </row>
    <row r="123" spans="1:9" x14ac:dyDescent="0.25">
      <c r="A123" s="5">
        <v>78.959999999999994</v>
      </c>
      <c r="B123" s="5">
        <v>223.18</v>
      </c>
      <c r="C123" s="5">
        <v>74.12</v>
      </c>
      <c r="D123" s="5">
        <v>340.01</v>
      </c>
      <c r="E123" s="5">
        <v>138.58000000000001</v>
      </c>
      <c r="F123" s="3">
        <f t="shared" si="5"/>
        <v>573</v>
      </c>
      <c r="G123" s="6">
        <v>528.54</v>
      </c>
      <c r="H123" s="6">
        <v>558.35</v>
      </c>
      <c r="I123" s="6">
        <f t="shared" si="4"/>
        <v>543.44499999999994</v>
      </c>
    </row>
    <row r="124" spans="1:9" x14ac:dyDescent="0.25">
      <c r="A124" s="5">
        <v>75.739999999999995</v>
      </c>
      <c r="B124" s="5">
        <v>218.34</v>
      </c>
      <c r="C124" s="5">
        <v>74.12</v>
      </c>
      <c r="D124" s="5">
        <v>336.78</v>
      </c>
      <c r="E124" s="5">
        <v>136.16</v>
      </c>
      <c r="F124" s="3">
        <f t="shared" si="5"/>
        <v>573</v>
      </c>
      <c r="G124" s="6">
        <v>524.51</v>
      </c>
      <c r="H124" s="6">
        <v>555.92999999999995</v>
      </c>
      <c r="I124" s="6">
        <f t="shared" si="4"/>
        <v>540.22</v>
      </c>
    </row>
    <row r="125" spans="1:9" x14ac:dyDescent="0.25">
      <c r="A125" s="5">
        <v>73.319999999999993</v>
      </c>
      <c r="B125" s="5">
        <v>215.93</v>
      </c>
      <c r="C125" s="5">
        <v>73.319999999999993</v>
      </c>
      <c r="D125" s="5">
        <v>339.2</v>
      </c>
      <c r="E125" s="5">
        <v>137.77000000000001</v>
      </c>
      <c r="F125" s="3">
        <f t="shared" si="5"/>
        <v>573</v>
      </c>
      <c r="G125" s="6">
        <v>521.29</v>
      </c>
      <c r="H125" s="6">
        <v>555.13</v>
      </c>
      <c r="I125" s="6">
        <f t="shared" si="4"/>
        <v>538.21</v>
      </c>
    </row>
    <row r="126" spans="1:9" x14ac:dyDescent="0.25">
      <c r="A126" s="5">
        <v>73.319999999999993</v>
      </c>
      <c r="B126" s="5">
        <v>212.7</v>
      </c>
      <c r="C126" s="5">
        <v>74.12</v>
      </c>
      <c r="D126" s="5">
        <v>338.39</v>
      </c>
      <c r="E126" s="5">
        <v>136.16</v>
      </c>
      <c r="F126" s="3">
        <f t="shared" si="5"/>
        <v>573</v>
      </c>
      <c r="G126" s="6">
        <v>518.07000000000005</v>
      </c>
      <c r="H126" s="6">
        <v>551.9</v>
      </c>
      <c r="I126" s="6">
        <f t="shared" si="4"/>
        <v>534.98500000000001</v>
      </c>
    </row>
    <row r="127" spans="1:9" x14ac:dyDescent="0.25">
      <c r="A127" s="5">
        <v>111.19</v>
      </c>
      <c r="B127" s="5">
        <v>288.44</v>
      </c>
      <c r="C127" s="5">
        <v>123.27</v>
      </c>
      <c r="D127" s="5">
        <v>440.72</v>
      </c>
      <c r="E127" s="5">
        <v>202.23</v>
      </c>
      <c r="F127" s="3">
        <f t="shared" ref="F127:F146" si="6">273+350</f>
        <v>623</v>
      </c>
      <c r="G127" s="6">
        <v>466.5</v>
      </c>
      <c r="H127" s="6">
        <v>485.03</v>
      </c>
      <c r="I127" s="6">
        <f t="shared" si="4"/>
        <v>475.76499999999999</v>
      </c>
    </row>
    <row r="128" spans="1:9" x14ac:dyDescent="0.25">
      <c r="A128" s="5">
        <v>111.19</v>
      </c>
      <c r="B128" s="5">
        <v>283.61</v>
      </c>
      <c r="C128" s="5">
        <v>123.27</v>
      </c>
      <c r="D128" s="5">
        <v>442.33</v>
      </c>
      <c r="E128" s="5">
        <v>204.65</v>
      </c>
      <c r="F128" s="3">
        <f t="shared" si="6"/>
        <v>623</v>
      </c>
      <c r="G128" s="6">
        <v>462.47</v>
      </c>
      <c r="H128" s="6">
        <v>482.61</v>
      </c>
      <c r="I128" s="6">
        <f t="shared" si="4"/>
        <v>472.54</v>
      </c>
    </row>
    <row r="129" spans="1:9" x14ac:dyDescent="0.25">
      <c r="A129" s="5">
        <v>108.77</v>
      </c>
      <c r="B129" s="5">
        <v>284.41000000000003</v>
      </c>
      <c r="C129" s="5">
        <v>122.47</v>
      </c>
      <c r="D129" s="5">
        <v>442.33</v>
      </c>
      <c r="E129" s="5">
        <v>205.45</v>
      </c>
      <c r="F129" s="3">
        <f t="shared" si="6"/>
        <v>623</v>
      </c>
      <c r="G129" s="6">
        <v>458.44</v>
      </c>
      <c r="H129" s="6">
        <v>480.2</v>
      </c>
      <c r="I129" s="6">
        <f t="shared" si="4"/>
        <v>469.32</v>
      </c>
    </row>
    <row r="130" spans="1:9" x14ac:dyDescent="0.25">
      <c r="A130" s="5">
        <v>107.96</v>
      </c>
      <c r="B130" s="5">
        <v>284.41000000000003</v>
      </c>
      <c r="C130" s="5">
        <v>121.66</v>
      </c>
      <c r="D130" s="5">
        <v>440.72</v>
      </c>
      <c r="E130" s="5">
        <v>203.84</v>
      </c>
      <c r="F130" s="3">
        <f t="shared" si="6"/>
        <v>623</v>
      </c>
      <c r="G130" s="6">
        <v>454.41</v>
      </c>
      <c r="H130" s="6">
        <v>472.95</v>
      </c>
      <c r="I130" s="6">
        <f t="shared" si="4"/>
        <v>463.68</v>
      </c>
    </row>
    <row r="131" spans="1:9" x14ac:dyDescent="0.25">
      <c r="A131" s="5">
        <v>105.55</v>
      </c>
      <c r="B131" s="5">
        <v>281.19</v>
      </c>
      <c r="C131" s="5">
        <v>122.47</v>
      </c>
      <c r="D131" s="5">
        <v>440.72</v>
      </c>
      <c r="E131" s="5">
        <v>204.65</v>
      </c>
      <c r="F131" s="3">
        <f t="shared" si="6"/>
        <v>623</v>
      </c>
      <c r="G131" s="6">
        <v>450.39</v>
      </c>
      <c r="H131" s="6">
        <v>471.33</v>
      </c>
      <c r="I131" s="6">
        <f t="shared" si="4"/>
        <v>460.86</v>
      </c>
    </row>
    <row r="132" spans="1:9" x14ac:dyDescent="0.25">
      <c r="A132" s="5">
        <v>109.58</v>
      </c>
      <c r="B132" s="5">
        <v>282.8</v>
      </c>
      <c r="C132" s="5">
        <v>121.66</v>
      </c>
      <c r="D132" s="5">
        <v>441.52</v>
      </c>
      <c r="E132" s="5">
        <v>204.65</v>
      </c>
      <c r="F132" s="3">
        <f t="shared" si="6"/>
        <v>623</v>
      </c>
      <c r="G132" s="6">
        <v>449.58</v>
      </c>
      <c r="H132" s="6">
        <v>466.5</v>
      </c>
      <c r="I132" s="6">
        <f t="shared" si="4"/>
        <v>458.03999999999996</v>
      </c>
    </row>
    <row r="133" spans="1:9" x14ac:dyDescent="0.25">
      <c r="A133" s="5">
        <v>109.58</v>
      </c>
      <c r="B133" s="5">
        <v>282.8</v>
      </c>
      <c r="C133" s="5">
        <v>122.47</v>
      </c>
      <c r="D133" s="5">
        <v>440.72</v>
      </c>
      <c r="E133" s="5">
        <v>204.65</v>
      </c>
      <c r="F133" s="3">
        <f t="shared" si="6"/>
        <v>623</v>
      </c>
      <c r="G133" s="6">
        <v>443.94</v>
      </c>
      <c r="H133" s="6">
        <v>461.67</v>
      </c>
      <c r="I133" s="6">
        <f t="shared" si="4"/>
        <v>452.80500000000001</v>
      </c>
    </row>
    <row r="134" spans="1:9" x14ac:dyDescent="0.25">
      <c r="A134" s="5">
        <v>107.16</v>
      </c>
      <c r="B134" s="5">
        <v>281.99</v>
      </c>
      <c r="C134" s="5">
        <v>120.86</v>
      </c>
      <c r="D134" s="5">
        <v>441.52</v>
      </c>
      <c r="E134" s="5">
        <v>202.23</v>
      </c>
      <c r="F134" s="3">
        <f t="shared" si="6"/>
        <v>623</v>
      </c>
      <c r="G134" s="6">
        <v>441.52</v>
      </c>
      <c r="H134" s="6">
        <v>460.05</v>
      </c>
      <c r="I134" s="6">
        <f t="shared" si="4"/>
        <v>450.78499999999997</v>
      </c>
    </row>
    <row r="135" spans="1:9" x14ac:dyDescent="0.25">
      <c r="A135" s="5">
        <v>102.32</v>
      </c>
      <c r="B135" s="5">
        <v>273.94</v>
      </c>
      <c r="C135" s="5">
        <v>120.86</v>
      </c>
      <c r="D135" s="5">
        <v>439.91</v>
      </c>
      <c r="E135" s="5">
        <v>204.65</v>
      </c>
      <c r="F135" s="3">
        <f t="shared" si="6"/>
        <v>623</v>
      </c>
      <c r="G135" s="6">
        <v>437.5</v>
      </c>
      <c r="H135" s="6">
        <v>457.64</v>
      </c>
      <c r="I135" s="6">
        <f t="shared" si="4"/>
        <v>447.57</v>
      </c>
    </row>
    <row r="136" spans="1:9" x14ac:dyDescent="0.25">
      <c r="A136" s="5">
        <v>103.13</v>
      </c>
      <c r="B136" s="5">
        <v>276.36</v>
      </c>
      <c r="C136" s="5">
        <v>121.66</v>
      </c>
      <c r="D136" s="5">
        <v>441.52</v>
      </c>
      <c r="E136" s="5">
        <v>203.04</v>
      </c>
      <c r="F136" s="3">
        <f t="shared" si="6"/>
        <v>623</v>
      </c>
      <c r="G136" s="6">
        <v>434.27</v>
      </c>
      <c r="H136" s="6">
        <v>452.8</v>
      </c>
      <c r="I136" s="6">
        <f t="shared" si="4"/>
        <v>443.53499999999997</v>
      </c>
    </row>
    <row r="137" spans="1:9" x14ac:dyDescent="0.25">
      <c r="A137" s="5">
        <v>106.35</v>
      </c>
      <c r="B137" s="5">
        <v>276.36</v>
      </c>
      <c r="C137" s="5">
        <v>123.27</v>
      </c>
      <c r="D137" s="5">
        <v>439.91</v>
      </c>
      <c r="E137" s="5">
        <v>203.84</v>
      </c>
      <c r="F137" s="3">
        <f t="shared" si="6"/>
        <v>623</v>
      </c>
      <c r="G137" s="6">
        <v>429.44</v>
      </c>
      <c r="H137" s="6">
        <v>449.58</v>
      </c>
      <c r="I137" s="6">
        <f t="shared" si="4"/>
        <v>439.51</v>
      </c>
    </row>
    <row r="138" spans="1:9" x14ac:dyDescent="0.25">
      <c r="A138" s="5">
        <v>106.35</v>
      </c>
      <c r="B138" s="5">
        <v>277.97000000000003</v>
      </c>
      <c r="C138" s="5">
        <v>121.66</v>
      </c>
      <c r="D138" s="5">
        <v>438.3</v>
      </c>
      <c r="E138" s="5">
        <v>202.23</v>
      </c>
      <c r="F138" s="3">
        <f t="shared" si="6"/>
        <v>623</v>
      </c>
      <c r="G138" s="6">
        <v>428.63</v>
      </c>
      <c r="H138" s="6">
        <v>447.97</v>
      </c>
      <c r="I138" s="6">
        <f t="shared" si="4"/>
        <v>438.3</v>
      </c>
    </row>
    <row r="139" spans="1:9" x14ac:dyDescent="0.25">
      <c r="A139" s="5">
        <v>107.16</v>
      </c>
      <c r="B139" s="5">
        <v>275.55</v>
      </c>
      <c r="C139" s="5">
        <v>123.27</v>
      </c>
      <c r="D139" s="5">
        <v>441.52</v>
      </c>
      <c r="E139" s="5">
        <v>205.45</v>
      </c>
      <c r="F139" s="3">
        <f t="shared" si="6"/>
        <v>623</v>
      </c>
      <c r="G139" s="6">
        <v>424.6</v>
      </c>
      <c r="H139" s="6">
        <v>445.55</v>
      </c>
      <c r="I139" s="6">
        <f t="shared" si="4"/>
        <v>435.07500000000005</v>
      </c>
    </row>
    <row r="140" spans="1:9" x14ac:dyDescent="0.25">
      <c r="A140" s="5">
        <v>105.55</v>
      </c>
      <c r="B140" s="5">
        <v>276.36</v>
      </c>
      <c r="C140" s="5">
        <v>122.47</v>
      </c>
      <c r="D140" s="5">
        <v>438.3</v>
      </c>
      <c r="E140" s="5">
        <v>203.84</v>
      </c>
      <c r="F140" s="3">
        <f t="shared" si="6"/>
        <v>623</v>
      </c>
      <c r="G140" s="6">
        <v>420.58</v>
      </c>
      <c r="H140" s="6">
        <v>439.11</v>
      </c>
      <c r="I140" s="6">
        <f t="shared" si="4"/>
        <v>429.84500000000003</v>
      </c>
    </row>
    <row r="141" spans="1:9" x14ac:dyDescent="0.25">
      <c r="A141" s="5">
        <v>103.94</v>
      </c>
      <c r="B141" s="5">
        <v>277.16000000000003</v>
      </c>
      <c r="C141" s="5">
        <v>122.47</v>
      </c>
      <c r="D141" s="5">
        <v>439.91</v>
      </c>
      <c r="E141" s="5">
        <v>205.45</v>
      </c>
      <c r="F141" s="3">
        <f t="shared" si="6"/>
        <v>623</v>
      </c>
      <c r="G141" s="6">
        <v>417.35</v>
      </c>
      <c r="H141" s="6">
        <v>439.11</v>
      </c>
      <c r="I141" s="6">
        <f t="shared" si="4"/>
        <v>428.23</v>
      </c>
    </row>
    <row r="142" spans="1:9" x14ac:dyDescent="0.25">
      <c r="A142" s="5">
        <v>106.35</v>
      </c>
      <c r="B142" s="5">
        <v>277.97000000000003</v>
      </c>
      <c r="C142" s="5">
        <v>123.27</v>
      </c>
      <c r="D142" s="5">
        <v>437.5</v>
      </c>
      <c r="E142" s="5">
        <v>203.84</v>
      </c>
      <c r="F142" s="3">
        <f t="shared" si="6"/>
        <v>623</v>
      </c>
      <c r="G142" s="6">
        <v>414.13</v>
      </c>
      <c r="H142" s="6">
        <v>435.08</v>
      </c>
      <c r="I142" s="6">
        <f t="shared" si="4"/>
        <v>424.60500000000002</v>
      </c>
    </row>
    <row r="143" spans="1:9" x14ac:dyDescent="0.25">
      <c r="A143" s="5">
        <v>106.35</v>
      </c>
      <c r="B143" s="5">
        <v>276.36</v>
      </c>
      <c r="C143" s="5">
        <v>122.47</v>
      </c>
      <c r="D143" s="5">
        <v>435.08</v>
      </c>
      <c r="E143" s="5">
        <v>203.04</v>
      </c>
      <c r="F143" s="3">
        <f t="shared" si="6"/>
        <v>623</v>
      </c>
      <c r="G143" s="6">
        <v>411.71</v>
      </c>
      <c r="H143" s="6">
        <v>432.66</v>
      </c>
      <c r="I143" s="6">
        <f t="shared" si="4"/>
        <v>422.185</v>
      </c>
    </row>
    <row r="144" spans="1:9" x14ac:dyDescent="0.25">
      <c r="A144" s="5">
        <v>103.94</v>
      </c>
      <c r="B144" s="5">
        <v>277.97000000000003</v>
      </c>
      <c r="C144" s="5">
        <v>119.24</v>
      </c>
      <c r="D144" s="5">
        <v>439.11</v>
      </c>
      <c r="E144" s="5">
        <v>203.84</v>
      </c>
      <c r="F144" s="3">
        <f t="shared" si="6"/>
        <v>623</v>
      </c>
      <c r="G144" s="6">
        <v>407.68</v>
      </c>
      <c r="H144" s="6">
        <v>426.22</v>
      </c>
      <c r="I144" s="6">
        <f t="shared" si="4"/>
        <v>416.95000000000005</v>
      </c>
    </row>
    <row r="145" spans="1:9" x14ac:dyDescent="0.25">
      <c r="A145" s="5">
        <v>103.94</v>
      </c>
      <c r="B145" s="5">
        <v>275.55</v>
      </c>
      <c r="C145" s="5">
        <v>122.47</v>
      </c>
      <c r="D145" s="5">
        <v>439.11</v>
      </c>
      <c r="E145" s="5">
        <v>202.23</v>
      </c>
      <c r="F145" s="3">
        <f t="shared" si="6"/>
        <v>623</v>
      </c>
      <c r="G145" s="6">
        <v>403.66</v>
      </c>
      <c r="H145" s="6">
        <v>425.41</v>
      </c>
      <c r="I145" s="6">
        <f t="shared" si="4"/>
        <v>414.53500000000003</v>
      </c>
    </row>
    <row r="146" spans="1:9" x14ac:dyDescent="0.25">
      <c r="A146" s="5">
        <v>102.32</v>
      </c>
      <c r="B146" s="5">
        <v>273.13</v>
      </c>
      <c r="C146" s="5">
        <v>123.27</v>
      </c>
      <c r="D146" s="5">
        <v>437.5</v>
      </c>
      <c r="E146" s="5">
        <v>203.84</v>
      </c>
      <c r="F146" s="3">
        <f t="shared" si="6"/>
        <v>623</v>
      </c>
      <c r="G146" s="6">
        <v>401.24</v>
      </c>
      <c r="H146" s="6">
        <v>422.99</v>
      </c>
      <c r="I146" s="6">
        <f t="shared" si="4"/>
        <v>412.11500000000001</v>
      </c>
    </row>
    <row r="147" spans="1:9" x14ac:dyDescent="0.25">
      <c r="A147" s="5">
        <v>154.69</v>
      </c>
      <c r="B147" s="5">
        <v>356.12</v>
      </c>
      <c r="C147" s="5">
        <v>186.92</v>
      </c>
      <c r="D147" s="5">
        <v>553.52</v>
      </c>
      <c r="E147" s="5">
        <v>283.61</v>
      </c>
      <c r="F147" s="3">
        <f t="shared" ref="F147:F166" si="7">273+400</f>
        <v>673</v>
      </c>
      <c r="G147" s="6">
        <v>515.65</v>
      </c>
      <c r="H147" s="6">
        <v>521.29</v>
      </c>
      <c r="I147" s="6">
        <f t="shared" si="4"/>
        <v>518.47</v>
      </c>
    </row>
    <row r="148" spans="1:9" x14ac:dyDescent="0.25">
      <c r="A148" s="5">
        <v>153.88999999999999</v>
      </c>
      <c r="B148" s="5">
        <v>356.93</v>
      </c>
      <c r="C148" s="5">
        <v>187.73</v>
      </c>
      <c r="D148" s="5">
        <v>555.13</v>
      </c>
      <c r="E148" s="5">
        <v>284.41000000000003</v>
      </c>
      <c r="F148" s="3">
        <f t="shared" si="7"/>
        <v>673</v>
      </c>
      <c r="G148" s="6">
        <v>511.62</v>
      </c>
      <c r="H148" s="6">
        <v>517.26</v>
      </c>
      <c r="I148" s="6">
        <f t="shared" si="4"/>
        <v>514.44000000000005</v>
      </c>
    </row>
    <row r="149" spans="1:9" x14ac:dyDescent="0.25">
      <c r="A149" s="5">
        <v>153.88999999999999</v>
      </c>
      <c r="B149" s="5">
        <v>356.93</v>
      </c>
      <c r="C149" s="5">
        <v>187.73</v>
      </c>
      <c r="D149" s="5">
        <v>552.71</v>
      </c>
      <c r="E149" s="5">
        <v>284.41000000000003</v>
      </c>
      <c r="F149" s="3">
        <f t="shared" si="7"/>
        <v>673</v>
      </c>
      <c r="G149" s="6">
        <v>504.37</v>
      </c>
      <c r="H149" s="6">
        <v>513.23</v>
      </c>
      <c r="I149" s="6">
        <f t="shared" si="4"/>
        <v>508.8</v>
      </c>
    </row>
    <row r="150" spans="1:9" x14ac:dyDescent="0.25">
      <c r="A150" s="5">
        <v>159.53</v>
      </c>
      <c r="B150" s="5">
        <v>363.37</v>
      </c>
      <c r="C150" s="5">
        <v>186.12</v>
      </c>
      <c r="D150" s="5">
        <v>553.52</v>
      </c>
      <c r="E150" s="5">
        <v>284.41000000000003</v>
      </c>
      <c r="F150" s="3">
        <f t="shared" si="7"/>
        <v>673</v>
      </c>
      <c r="G150" s="6">
        <v>497.92</v>
      </c>
      <c r="H150" s="6">
        <v>505.17</v>
      </c>
      <c r="I150" s="6">
        <f t="shared" si="4"/>
        <v>501.54500000000002</v>
      </c>
    </row>
    <row r="151" spans="1:9" x14ac:dyDescent="0.25">
      <c r="A151" s="5">
        <v>159.53</v>
      </c>
      <c r="B151" s="5">
        <v>362.57</v>
      </c>
      <c r="C151" s="5">
        <v>186.92</v>
      </c>
      <c r="D151" s="5">
        <v>555.13</v>
      </c>
      <c r="E151" s="5">
        <v>284.41000000000003</v>
      </c>
      <c r="F151" s="3">
        <f t="shared" si="7"/>
        <v>673</v>
      </c>
      <c r="G151" s="6">
        <v>493.89</v>
      </c>
      <c r="H151" s="6">
        <v>500.34</v>
      </c>
      <c r="I151" s="6">
        <f t="shared" si="4"/>
        <v>497.11500000000001</v>
      </c>
    </row>
    <row r="152" spans="1:9" x14ac:dyDescent="0.25">
      <c r="A152" s="5">
        <v>155.5</v>
      </c>
      <c r="B152" s="5">
        <v>363.37</v>
      </c>
      <c r="C152" s="5">
        <v>186.12</v>
      </c>
      <c r="D152" s="5">
        <v>552.71</v>
      </c>
      <c r="E152" s="5">
        <v>281.99</v>
      </c>
      <c r="F152" s="3">
        <f t="shared" si="7"/>
        <v>673</v>
      </c>
      <c r="G152" s="6">
        <v>485.84</v>
      </c>
      <c r="H152" s="6">
        <v>494.7</v>
      </c>
      <c r="I152" s="6">
        <f t="shared" si="4"/>
        <v>490.27</v>
      </c>
    </row>
    <row r="153" spans="1:9" x14ac:dyDescent="0.25">
      <c r="A153" s="5">
        <v>155.5</v>
      </c>
      <c r="B153" s="5">
        <v>357.73</v>
      </c>
      <c r="C153" s="5">
        <v>186.12</v>
      </c>
      <c r="D153" s="5">
        <v>555.13</v>
      </c>
      <c r="E153" s="5">
        <v>282.8</v>
      </c>
      <c r="F153" s="3">
        <f t="shared" si="7"/>
        <v>673</v>
      </c>
      <c r="G153" s="6">
        <v>481</v>
      </c>
      <c r="H153" s="6">
        <v>488.25</v>
      </c>
      <c r="I153" s="6">
        <f t="shared" si="4"/>
        <v>484.625</v>
      </c>
    </row>
    <row r="154" spans="1:9" x14ac:dyDescent="0.25">
      <c r="A154" s="5">
        <v>156.31</v>
      </c>
      <c r="B154" s="5">
        <v>362.57</v>
      </c>
      <c r="C154" s="5">
        <v>186.92</v>
      </c>
      <c r="D154" s="5">
        <v>551.9</v>
      </c>
      <c r="E154" s="5">
        <v>282.8</v>
      </c>
      <c r="F154" s="3">
        <f t="shared" si="7"/>
        <v>673</v>
      </c>
      <c r="G154" s="6">
        <v>474.56</v>
      </c>
      <c r="H154" s="6">
        <v>484.23</v>
      </c>
      <c r="I154" s="6">
        <f t="shared" si="4"/>
        <v>479.39499999999998</v>
      </c>
    </row>
    <row r="155" spans="1:9" x14ac:dyDescent="0.25">
      <c r="A155" s="5">
        <v>155.5</v>
      </c>
      <c r="B155" s="5">
        <v>360.15</v>
      </c>
      <c r="C155" s="5">
        <v>185.31</v>
      </c>
      <c r="D155" s="5">
        <v>552.71</v>
      </c>
      <c r="E155" s="5">
        <v>282.8</v>
      </c>
      <c r="F155" s="3">
        <f t="shared" si="7"/>
        <v>673</v>
      </c>
      <c r="G155" s="6">
        <v>469.72</v>
      </c>
      <c r="H155" s="6">
        <v>478.59</v>
      </c>
      <c r="I155" s="6">
        <f t="shared" si="4"/>
        <v>474.15499999999997</v>
      </c>
    </row>
    <row r="156" spans="1:9" x14ac:dyDescent="0.25">
      <c r="A156" s="5">
        <v>157.91999999999999</v>
      </c>
      <c r="B156" s="5">
        <v>357.73</v>
      </c>
      <c r="C156" s="5">
        <v>186.92</v>
      </c>
      <c r="D156" s="5">
        <v>550.29</v>
      </c>
      <c r="E156" s="5">
        <v>283.61</v>
      </c>
      <c r="F156" s="3">
        <f t="shared" si="7"/>
        <v>673</v>
      </c>
      <c r="G156" s="6">
        <v>464.08</v>
      </c>
      <c r="H156" s="6">
        <v>473.75</v>
      </c>
      <c r="I156" s="6">
        <f t="shared" ref="I156:I206" si="8">AVERAGE(G156:H156)</f>
        <v>468.91499999999996</v>
      </c>
    </row>
    <row r="157" spans="1:9" x14ac:dyDescent="0.25">
      <c r="A157" s="5">
        <v>155.5</v>
      </c>
      <c r="B157" s="5">
        <v>356.93</v>
      </c>
      <c r="C157" s="5">
        <v>189.34</v>
      </c>
      <c r="D157" s="5">
        <v>554.32000000000005</v>
      </c>
      <c r="E157" s="5">
        <v>283.61</v>
      </c>
      <c r="F157" s="3">
        <f t="shared" si="7"/>
        <v>673</v>
      </c>
      <c r="G157" s="6">
        <v>457.64</v>
      </c>
      <c r="H157" s="6">
        <v>468.92</v>
      </c>
      <c r="I157" s="6">
        <f t="shared" si="8"/>
        <v>463.28</v>
      </c>
    </row>
    <row r="158" spans="1:9" x14ac:dyDescent="0.25">
      <c r="A158" s="5">
        <v>155.5</v>
      </c>
      <c r="B158" s="5">
        <v>359.34</v>
      </c>
      <c r="C158" s="5">
        <v>186.12</v>
      </c>
      <c r="D158" s="5">
        <v>551.9</v>
      </c>
      <c r="E158" s="5">
        <v>283.61</v>
      </c>
      <c r="F158" s="3">
        <f t="shared" si="7"/>
        <v>673</v>
      </c>
      <c r="G158" s="6">
        <v>455.22</v>
      </c>
      <c r="H158" s="6">
        <v>464.08</v>
      </c>
      <c r="I158" s="6">
        <f t="shared" si="8"/>
        <v>459.65</v>
      </c>
    </row>
    <row r="159" spans="1:9" x14ac:dyDescent="0.25">
      <c r="A159" s="5">
        <v>153.08000000000001</v>
      </c>
      <c r="B159" s="5">
        <v>356.12</v>
      </c>
      <c r="C159" s="5">
        <v>186.92</v>
      </c>
      <c r="D159" s="5">
        <v>551.9</v>
      </c>
      <c r="E159" s="5">
        <v>284.41000000000003</v>
      </c>
      <c r="F159" s="3">
        <f t="shared" si="7"/>
        <v>673</v>
      </c>
      <c r="G159" s="6">
        <v>448.77</v>
      </c>
      <c r="H159" s="6">
        <v>459.25</v>
      </c>
      <c r="I159" s="6">
        <f t="shared" si="8"/>
        <v>454.01</v>
      </c>
    </row>
    <row r="160" spans="1:9" x14ac:dyDescent="0.25">
      <c r="A160" s="5">
        <v>152.28</v>
      </c>
      <c r="B160" s="5">
        <v>350.48</v>
      </c>
      <c r="C160" s="5">
        <v>186.92</v>
      </c>
      <c r="D160" s="5">
        <v>549.49</v>
      </c>
      <c r="E160" s="5">
        <v>286.02</v>
      </c>
      <c r="F160" s="3">
        <f t="shared" si="7"/>
        <v>673</v>
      </c>
      <c r="G160" s="6">
        <v>440.72</v>
      </c>
      <c r="H160" s="6">
        <v>455.22</v>
      </c>
      <c r="I160" s="6">
        <f t="shared" si="8"/>
        <v>447.97</v>
      </c>
    </row>
    <row r="161" spans="1:9" x14ac:dyDescent="0.25">
      <c r="A161" s="5">
        <v>153.08000000000001</v>
      </c>
      <c r="B161" s="5">
        <v>350.48</v>
      </c>
      <c r="C161" s="5">
        <v>186.12</v>
      </c>
      <c r="D161" s="5">
        <v>548.67999999999995</v>
      </c>
      <c r="E161" s="5">
        <v>285.22000000000003</v>
      </c>
      <c r="F161" s="3">
        <f t="shared" si="7"/>
        <v>673</v>
      </c>
      <c r="G161" s="6">
        <v>439.91</v>
      </c>
      <c r="H161" s="6">
        <v>450.39</v>
      </c>
      <c r="I161" s="6">
        <f t="shared" si="8"/>
        <v>445.15</v>
      </c>
    </row>
    <row r="162" spans="1:9" x14ac:dyDescent="0.25">
      <c r="A162" s="5">
        <v>151.47</v>
      </c>
      <c r="B162" s="5">
        <v>350.48</v>
      </c>
      <c r="C162" s="5">
        <v>188.53</v>
      </c>
      <c r="D162" s="5">
        <v>547.07000000000005</v>
      </c>
      <c r="E162" s="5">
        <v>281.99</v>
      </c>
      <c r="F162" s="3">
        <f t="shared" si="7"/>
        <v>673</v>
      </c>
      <c r="G162" s="6">
        <v>433.47</v>
      </c>
      <c r="H162" s="6">
        <v>445.55</v>
      </c>
      <c r="I162" s="6">
        <f t="shared" si="8"/>
        <v>439.51</v>
      </c>
    </row>
    <row r="163" spans="1:9" x14ac:dyDescent="0.25">
      <c r="A163" s="5">
        <v>153.88999999999999</v>
      </c>
      <c r="B163" s="5">
        <v>350.48</v>
      </c>
      <c r="C163" s="5">
        <v>186.12</v>
      </c>
      <c r="D163" s="5">
        <v>547.07000000000005</v>
      </c>
      <c r="E163" s="5">
        <v>282.8</v>
      </c>
      <c r="F163" s="3">
        <f t="shared" si="7"/>
        <v>673</v>
      </c>
      <c r="G163" s="6">
        <v>426.22</v>
      </c>
      <c r="H163" s="6">
        <v>440.72</v>
      </c>
      <c r="I163" s="6">
        <f t="shared" si="8"/>
        <v>433.47</v>
      </c>
    </row>
    <row r="164" spans="1:9" x14ac:dyDescent="0.25">
      <c r="A164" s="5">
        <v>152.28</v>
      </c>
      <c r="B164" s="5">
        <v>347.26</v>
      </c>
      <c r="C164" s="5">
        <v>186.92</v>
      </c>
      <c r="D164" s="5">
        <v>546.26</v>
      </c>
      <c r="E164" s="5">
        <v>284.41000000000003</v>
      </c>
      <c r="F164" s="3">
        <f t="shared" si="7"/>
        <v>673</v>
      </c>
      <c r="G164" s="6">
        <v>424.6</v>
      </c>
      <c r="H164" s="6">
        <v>438.3</v>
      </c>
      <c r="I164" s="6">
        <f t="shared" si="8"/>
        <v>431.45000000000005</v>
      </c>
    </row>
    <row r="165" spans="1:9" x14ac:dyDescent="0.25">
      <c r="A165" s="5">
        <v>149.86000000000001</v>
      </c>
      <c r="B165" s="5">
        <v>343.23</v>
      </c>
      <c r="C165" s="5">
        <v>185.31</v>
      </c>
      <c r="D165" s="5">
        <v>547.07000000000005</v>
      </c>
      <c r="E165" s="5">
        <v>283.61</v>
      </c>
      <c r="F165" s="3">
        <f t="shared" si="7"/>
        <v>673</v>
      </c>
      <c r="G165" s="6">
        <v>418.16</v>
      </c>
      <c r="H165" s="6">
        <v>435.88</v>
      </c>
      <c r="I165" s="6">
        <f t="shared" si="8"/>
        <v>427.02</v>
      </c>
    </row>
    <row r="166" spans="1:9" x14ac:dyDescent="0.25">
      <c r="A166" s="5">
        <v>148.25</v>
      </c>
      <c r="B166" s="5">
        <v>344.84</v>
      </c>
      <c r="C166" s="5">
        <v>187.73</v>
      </c>
      <c r="D166" s="5">
        <v>547.88</v>
      </c>
      <c r="E166" s="5">
        <v>282.8</v>
      </c>
      <c r="F166" s="3">
        <f t="shared" si="7"/>
        <v>673</v>
      </c>
      <c r="G166" s="6">
        <v>414.94</v>
      </c>
      <c r="H166" s="6">
        <v>425.41</v>
      </c>
      <c r="I166" s="6">
        <f t="shared" si="8"/>
        <v>420.17500000000001</v>
      </c>
    </row>
    <row r="167" spans="1:9" x14ac:dyDescent="0.25">
      <c r="A167" s="5">
        <v>215.93</v>
      </c>
      <c r="B167" s="5">
        <v>441.52</v>
      </c>
      <c r="C167" s="5">
        <v>279.58</v>
      </c>
      <c r="D167" s="5">
        <v>672.76</v>
      </c>
      <c r="E167" s="5">
        <v>395.6</v>
      </c>
      <c r="F167" s="3">
        <f t="shared" ref="F167:F186" si="9">273+450</f>
        <v>723</v>
      </c>
      <c r="G167" s="6">
        <v>398.82</v>
      </c>
      <c r="H167" s="6">
        <v>413.32</v>
      </c>
      <c r="I167" s="6">
        <f t="shared" si="8"/>
        <v>406.07</v>
      </c>
    </row>
    <row r="168" spans="1:9" x14ac:dyDescent="0.25">
      <c r="A168" s="5">
        <v>213.51</v>
      </c>
      <c r="B168" s="5">
        <v>439.91</v>
      </c>
      <c r="C168" s="5">
        <v>279.58</v>
      </c>
      <c r="D168" s="5">
        <v>671.95</v>
      </c>
      <c r="E168" s="5">
        <v>397.21</v>
      </c>
      <c r="F168" s="3">
        <f t="shared" si="9"/>
        <v>723</v>
      </c>
      <c r="G168" s="6">
        <v>390.76</v>
      </c>
      <c r="H168" s="6">
        <v>406.88</v>
      </c>
      <c r="I168" s="6">
        <f t="shared" si="8"/>
        <v>398.82</v>
      </c>
    </row>
    <row r="169" spans="1:9" x14ac:dyDescent="0.25">
      <c r="A169" s="5">
        <v>210.29</v>
      </c>
      <c r="B169" s="5">
        <v>435.88</v>
      </c>
      <c r="C169" s="5">
        <v>278.77</v>
      </c>
      <c r="D169" s="5">
        <v>669.54</v>
      </c>
      <c r="E169" s="5">
        <v>396.4</v>
      </c>
      <c r="F169" s="3">
        <f t="shared" si="9"/>
        <v>723</v>
      </c>
      <c r="G169" s="6">
        <v>385.93</v>
      </c>
      <c r="H169" s="6">
        <v>403.66</v>
      </c>
      <c r="I169" s="6">
        <f t="shared" si="8"/>
        <v>394.79500000000002</v>
      </c>
    </row>
    <row r="170" spans="1:9" x14ac:dyDescent="0.25">
      <c r="A170" s="5">
        <v>210.29</v>
      </c>
      <c r="B170" s="5">
        <v>431.86</v>
      </c>
      <c r="C170" s="5">
        <v>281.19</v>
      </c>
      <c r="D170" s="5">
        <v>672.76</v>
      </c>
      <c r="E170" s="5">
        <v>398.02</v>
      </c>
      <c r="F170" s="3">
        <f t="shared" si="9"/>
        <v>723</v>
      </c>
      <c r="G170" s="6">
        <v>382.71</v>
      </c>
      <c r="H170" s="6">
        <v>398.02</v>
      </c>
      <c r="I170" s="6">
        <f t="shared" si="8"/>
        <v>390.36500000000001</v>
      </c>
    </row>
    <row r="171" spans="1:9" x14ac:dyDescent="0.25">
      <c r="A171" s="5">
        <v>212.7</v>
      </c>
      <c r="B171" s="5">
        <v>434.27</v>
      </c>
      <c r="C171" s="5">
        <v>281.19</v>
      </c>
      <c r="D171" s="5">
        <v>675.18</v>
      </c>
      <c r="E171" s="5">
        <v>398.02</v>
      </c>
      <c r="F171" s="3">
        <f t="shared" si="9"/>
        <v>723</v>
      </c>
      <c r="G171" s="6">
        <v>374.65</v>
      </c>
      <c r="H171" s="6">
        <v>393.18</v>
      </c>
      <c r="I171" s="6">
        <f t="shared" si="8"/>
        <v>383.91499999999996</v>
      </c>
    </row>
    <row r="172" spans="1:9" x14ac:dyDescent="0.25">
      <c r="A172" s="5">
        <v>209.48</v>
      </c>
      <c r="B172" s="5">
        <v>433.47</v>
      </c>
      <c r="C172" s="5">
        <v>278.77</v>
      </c>
      <c r="D172" s="5">
        <v>670.34</v>
      </c>
      <c r="E172" s="5">
        <v>396.4</v>
      </c>
      <c r="F172" s="3">
        <f t="shared" si="9"/>
        <v>723</v>
      </c>
      <c r="G172" s="6">
        <v>369.82</v>
      </c>
      <c r="H172" s="6">
        <v>387.54</v>
      </c>
      <c r="I172" s="6">
        <f t="shared" si="8"/>
        <v>378.68</v>
      </c>
    </row>
    <row r="173" spans="1:9" x14ac:dyDescent="0.25">
      <c r="A173" s="5">
        <v>207.87</v>
      </c>
      <c r="B173" s="5">
        <v>427.83</v>
      </c>
      <c r="C173" s="5">
        <v>281.19</v>
      </c>
      <c r="D173" s="5">
        <v>671.15</v>
      </c>
      <c r="E173" s="5">
        <v>398.02</v>
      </c>
      <c r="F173" s="3">
        <f t="shared" si="9"/>
        <v>723</v>
      </c>
      <c r="G173" s="6">
        <v>365.79</v>
      </c>
      <c r="H173" s="6">
        <v>384.32</v>
      </c>
      <c r="I173" s="6">
        <f t="shared" si="8"/>
        <v>375.05500000000001</v>
      </c>
    </row>
    <row r="174" spans="1:9" x14ac:dyDescent="0.25">
      <c r="A174" s="5">
        <v>203.04</v>
      </c>
      <c r="B174" s="5">
        <v>424.6</v>
      </c>
      <c r="C174" s="5">
        <v>281.19</v>
      </c>
      <c r="D174" s="5">
        <v>667.93</v>
      </c>
      <c r="E174" s="5">
        <v>396.4</v>
      </c>
      <c r="F174" s="3">
        <f t="shared" si="9"/>
        <v>723</v>
      </c>
      <c r="G174" s="6">
        <v>360.15</v>
      </c>
      <c r="H174" s="6">
        <v>377.87</v>
      </c>
      <c r="I174" s="6">
        <f t="shared" si="8"/>
        <v>369.01</v>
      </c>
    </row>
    <row r="175" spans="1:9" x14ac:dyDescent="0.25">
      <c r="A175" s="5">
        <v>206.26</v>
      </c>
      <c r="B175" s="5">
        <v>425.41</v>
      </c>
      <c r="C175" s="5">
        <v>281.19</v>
      </c>
      <c r="D175" s="5">
        <v>670.34</v>
      </c>
      <c r="E175" s="5">
        <v>397.21</v>
      </c>
      <c r="F175" s="3">
        <f t="shared" si="9"/>
        <v>723</v>
      </c>
      <c r="G175" s="6">
        <v>353.7</v>
      </c>
      <c r="H175" s="6">
        <v>373.04</v>
      </c>
      <c r="I175" s="6">
        <f t="shared" si="8"/>
        <v>363.37</v>
      </c>
    </row>
    <row r="176" spans="1:9" x14ac:dyDescent="0.25">
      <c r="A176" s="5">
        <v>206.26</v>
      </c>
      <c r="B176" s="5">
        <v>431.05</v>
      </c>
      <c r="C176" s="5">
        <v>279.58</v>
      </c>
      <c r="D176" s="5">
        <v>668.73</v>
      </c>
      <c r="E176" s="5">
        <v>398.02</v>
      </c>
      <c r="F176" s="3">
        <f t="shared" si="9"/>
        <v>723</v>
      </c>
      <c r="G176" s="6">
        <v>350.48</v>
      </c>
      <c r="H176" s="6">
        <v>368.2</v>
      </c>
      <c r="I176" s="6">
        <f t="shared" si="8"/>
        <v>359.34000000000003</v>
      </c>
    </row>
    <row r="177" spans="1:9" x14ac:dyDescent="0.25">
      <c r="A177" s="5">
        <v>204.65</v>
      </c>
      <c r="B177" s="5">
        <v>427.02</v>
      </c>
      <c r="C177" s="5">
        <v>281.99</v>
      </c>
      <c r="D177" s="5">
        <v>671.15</v>
      </c>
      <c r="E177" s="5">
        <v>394.79</v>
      </c>
      <c r="F177" s="3">
        <f t="shared" si="9"/>
        <v>723</v>
      </c>
      <c r="G177" s="6">
        <v>344.84</v>
      </c>
      <c r="H177" s="6">
        <v>361.76</v>
      </c>
      <c r="I177" s="6">
        <f t="shared" si="8"/>
        <v>353.29999999999995</v>
      </c>
    </row>
    <row r="178" spans="1:9" x14ac:dyDescent="0.25">
      <c r="A178" s="5">
        <v>207.06</v>
      </c>
      <c r="B178" s="5">
        <v>424.6</v>
      </c>
      <c r="C178" s="5">
        <v>281.19</v>
      </c>
      <c r="D178" s="5">
        <v>668.73</v>
      </c>
      <c r="E178" s="5">
        <v>397.21</v>
      </c>
      <c r="F178" s="3">
        <f t="shared" si="9"/>
        <v>723</v>
      </c>
      <c r="G178" s="6">
        <v>339.2</v>
      </c>
      <c r="H178" s="6">
        <v>357.73</v>
      </c>
      <c r="I178" s="6">
        <f t="shared" si="8"/>
        <v>348.46500000000003</v>
      </c>
    </row>
    <row r="179" spans="1:9" x14ac:dyDescent="0.25">
      <c r="A179" s="5">
        <v>200.62</v>
      </c>
      <c r="B179" s="5">
        <v>417.35</v>
      </c>
      <c r="C179" s="5">
        <v>279.58</v>
      </c>
      <c r="D179" s="5">
        <v>667.12</v>
      </c>
      <c r="E179" s="5">
        <v>393.99</v>
      </c>
      <c r="F179" s="3">
        <f t="shared" si="9"/>
        <v>723</v>
      </c>
      <c r="G179" s="6">
        <v>335.98</v>
      </c>
      <c r="H179" s="6">
        <v>350.48</v>
      </c>
      <c r="I179" s="6">
        <f t="shared" si="8"/>
        <v>343.23</v>
      </c>
    </row>
    <row r="180" spans="1:9" x14ac:dyDescent="0.25">
      <c r="A180" s="5">
        <v>199.81</v>
      </c>
      <c r="B180" s="5">
        <v>418.96</v>
      </c>
      <c r="C180" s="5">
        <v>281.19</v>
      </c>
      <c r="D180" s="5">
        <v>665.51</v>
      </c>
      <c r="E180" s="5">
        <v>396.4</v>
      </c>
      <c r="F180" s="3">
        <f t="shared" si="9"/>
        <v>723</v>
      </c>
      <c r="G180" s="6">
        <v>331.14</v>
      </c>
      <c r="H180" s="6">
        <v>348.06</v>
      </c>
      <c r="I180" s="6">
        <f t="shared" si="8"/>
        <v>339.6</v>
      </c>
    </row>
    <row r="181" spans="1:9" x14ac:dyDescent="0.25">
      <c r="A181" s="5">
        <v>204.65</v>
      </c>
      <c r="B181" s="5">
        <v>424.6</v>
      </c>
      <c r="C181" s="5">
        <v>281.99</v>
      </c>
      <c r="D181" s="5">
        <v>664.7</v>
      </c>
      <c r="E181" s="5">
        <v>397.21</v>
      </c>
      <c r="F181" s="3">
        <f t="shared" si="9"/>
        <v>723</v>
      </c>
      <c r="G181" s="6">
        <v>324.7</v>
      </c>
      <c r="H181" s="6">
        <v>344.03</v>
      </c>
      <c r="I181" s="6">
        <f t="shared" si="8"/>
        <v>334.36500000000001</v>
      </c>
    </row>
    <row r="182" spans="1:9" x14ac:dyDescent="0.25">
      <c r="A182" s="5">
        <v>202.23</v>
      </c>
      <c r="B182" s="5">
        <v>420.58</v>
      </c>
      <c r="C182" s="5">
        <v>279.58</v>
      </c>
      <c r="D182" s="5">
        <v>665.51</v>
      </c>
      <c r="E182" s="5">
        <v>395.6</v>
      </c>
      <c r="F182" s="3">
        <f t="shared" si="9"/>
        <v>723</v>
      </c>
      <c r="G182" s="6">
        <v>320.67</v>
      </c>
      <c r="H182" s="6">
        <v>340.81</v>
      </c>
      <c r="I182" s="6">
        <f t="shared" si="8"/>
        <v>330.74</v>
      </c>
    </row>
    <row r="183" spans="1:9" x14ac:dyDescent="0.25">
      <c r="A183" s="5">
        <v>199.01</v>
      </c>
      <c r="B183" s="5">
        <v>414.13</v>
      </c>
      <c r="C183" s="5">
        <v>281.19</v>
      </c>
      <c r="D183" s="5">
        <v>662.29</v>
      </c>
      <c r="E183" s="5">
        <v>396.4</v>
      </c>
      <c r="F183" s="3">
        <f t="shared" si="9"/>
        <v>723</v>
      </c>
      <c r="G183" s="6">
        <v>315.02999999999997</v>
      </c>
      <c r="H183" s="6">
        <v>338.39</v>
      </c>
      <c r="I183" s="6">
        <f t="shared" si="8"/>
        <v>326.70999999999998</v>
      </c>
    </row>
    <row r="184" spans="1:9" x14ac:dyDescent="0.25">
      <c r="A184" s="5">
        <v>198.2</v>
      </c>
      <c r="B184" s="5">
        <v>412.52</v>
      </c>
      <c r="C184" s="5">
        <v>281.19</v>
      </c>
      <c r="D184" s="5">
        <v>664.7</v>
      </c>
      <c r="E184" s="5">
        <v>395.6</v>
      </c>
      <c r="F184" s="3">
        <f t="shared" si="9"/>
        <v>723</v>
      </c>
      <c r="G184" s="6">
        <v>313.42</v>
      </c>
      <c r="H184" s="6">
        <v>330.34</v>
      </c>
      <c r="I184" s="6">
        <f t="shared" si="8"/>
        <v>321.88</v>
      </c>
    </row>
    <row r="185" spans="1:9" x14ac:dyDescent="0.25">
      <c r="A185" s="5">
        <v>199.01</v>
      </c>
      <c r="B185" s="5">
        <v>412.52</v>
      </c>
      <c r="C185" s="5">
        <v>278.77</v>
      </c>
      <c r="D185" s="5">
        <v>663.9</v>
      </c>
      <c r="E185" s="5">
        <v>395.6</v>
      </c>
      <c r="F185" s="3">
        <f t="shared" si="9"/>
        <v>723</v>
      </c>
      <c r="G185" s="6">
        <v>306.97000000000003</v>
      </c>
      <c r="H185" s="6">
        <v>327.11</v>
      </c>
      <c r="I185" s="6">
        <f t="shared" si="8"/>
        <v>317.04000000000002</v>
      </c>
    </row>
    <row r="186" spans="1:9" x14ac:dyDescent="0.25">
      <c r="A186" s="5">
        <v>199.81</v>
      </c>
      <c r="B186" s="5">
        <v>415.74</v>
      </c>
      <c r="C186" s="5">
        <v>281.19</v>
      </c>
      <c r="D186" s="5">
        <v>666.31</v>
      </c>
      <c r="E186" s="5">
        <v>396.4</v>
      </c>
      <c r="F186" s="3">
        <f t="shared" si="9"/>
        <v>723</v>
      </c>
      <c r="G186" s="6">
        <v>304.55</v>
      </c>
      <c r="H186" s="6">
        <v>325.5</v>
      </c>
      <c r="I186" s="6">
        <f t="shared" si="8"/>
        <v>315.02499999999998</v>
      </c>
    </row>
    <row r="187" spans="1:9" x14ac:dyDescent="0.25">
      <c r="A187" s="5">
        <v>269.91000000000003</v>
      </c>
      <c r="B187" s="5">
        <v>499.53</v>
      </c>
      <c r="C187" s="5">
        <v>390.76</v>
      </c>
      <c r="D187" s="5">
        <v>792</v>
      </c>
      <c r="E187" s="5">
        <v>507.59</v>
      </c>
      <c r="F187" s="3">
        <f t="shared" ref="F187:F206" si="10">273+500</f>
        <v>773</v>
      </c>
      <c r="G187" s="6">
        <v>352.09</v>
      </c>
      <c r="H187" s="6">
        <v>368.2</v>
      </c>
      <c r="I187" s="6">
        <f t="shared" si="8"/>
        <v>360.14499999999998</v>
      </c>
    </row>
    <row r="188" spans="1:9" x14ac:dyDescent="0.25">
      <c r="A188" s="5">
        <v>258.63</v>
      </c>
      <c r="B188" s="5">
        <v>489.87</v>
      </c>
      <c r="C188" s="5">
        <v>390.76</v>
      </c>
      <c r="D188" s="5">
        <v>789.59</v>
      </c>
      <c r="E188" s="5">
        <v>507.59</v>
      </c>
      <c r="F188" s="3">
        <f t="shared" si="10"/>
        <v>773</v>
      </c>
      <c r="G188" s="6">
        <v>347.26</v>
      </c>
      <c r="H188" s="6">
        <v>362.57</v>
      </c>
      <c r="I188" s="6">
        <f t="shared" si="8"/>
        <v>354.91499999999996</v>
      </c>
    </row>
    <row r="189" spans="1:9" x14ac:dyDescent="0.25">
      <c r="A189" s="5">
        <v>257.02</v>
      </c>
      <c r="B189" s="5">
        <v>485.84</v>
      </c>
      <c r="C189" s="5">
        <v>390.76</v>
      </c>
      <c r="D189" s="5">
        <v>786.36</v>
      </c>
      <c r="E189" s="5">
        <v>507.59</v>
      </c>
      <c r="F189" s="3">
        <f t="shared" si="10"/>
        <v>773</v>
      </c>
      <c r="G189" s="6">
        <v>341.62</v>
      </c>
      <c r="H189" s="6">
        <v>356.93</v>
      </c>
      <c r="I189" s="6">
        <f t="shared" si="8"/>
        <v>349.27499999999998</v>
      </c>
    </row>
    <row r="190" spans="1:9" x14ac:dyDescent="0.25">
      <c r="A190" s="5">
        <v>254.6</v>
      </c>
      <c r="B190" s="5">
        <v>480.2</v>
      </c>
      <c r="C190" s="5">
        <v>389.96</v>
      </c>
      <c r="D190" s="5">
        <v>784.75</v>
      </c>
      <c r="E190" s="5">
        <v>507.59</v>
      </c>
      <c r="F190" s="3">
        <f t="shared" si="10"/>
        <v>773</v>
      </c>
      <c r="G190" s="6">
        <v>335.17</v>
      </c>
      <c r="H190" s="6">
        <v>352.09</v>
      </c>
      <c r="I190" s="6">
        <f t="shared" si="8"/>
        <v>343.63</v>
      </c>
    </row>
    <row r="191" spans="1:9" x14ac:dyDescent="0.25">
      <c r="A191" s="5">
        <v>252.99</v>
      </c>
      <c r="B191" s="5">
        <v>480.2</v>
      </c>
      <c r="C191" s="5">
        <v>391.57</v>
      </c>
      <c r="D191" s="5">
        <v>786.36</v>
      </c>
      <c r="E191" s="5">
        <v>507.59</v>
      </c>
      <c r="F191" s="3">
        <f t="shared" si="10"/>
        <v>773</v>
      </c>
      <c r="G191" s="6">
        <v>330.34</v>
      </c>
      <c r="H191" s="6">
        <v>343.23</v>
      </c>
      <c r="I191" s="6">
        <f t="shared" si="8"/>
        <v>336.78499999999997</v>
      </c>
    </row>
    <row r="192" spans="1:9" x14ac:dyDescent="0.25">
      <c r="A192" s="5">
        <v>252.99</v>
      </c>
      <c r="B192" s="5">
        <v>478.59</v>
      </c>
      <c r="C192" s="5">
        <v>391.57</v>
      </c>
      <c r="D192" s="5">
        <v>785.56</v>
      </c>
      <c r="E192" s="5">
        <v>505.98</v>
      </c>
      <c r="F192" s="3">
        <f t="shared" si="10"/>
        <v>773</v>
      </c>
      <c r="G192" s="6">
        <v>326.31</v>
      </c>
      <c r="H192" s="6">
        <v>338.39</v>
      </c>
      <c r="I192" s="6">
        <f t="shared" si="8"/>
        <v>332.35</v>
      </c>
    </row>
    <row r="193" spans="1:9" x14ac:dyDescent="0.25">
      <c r="A193" s="5">
        <v>257.02</v>
      </c>
      <c r="B193" s="5">
        <v>484.23</v>
      </c>
      <c r="C193" s="5">
        <v>390.76</v>
      </c>
      <c r="D193" s="5">
        <v>786.36</v>
      </c>
      <c r="E193" s="5">
        <v>508.4</v>
      </c>
      <c r="F193" s="3">
        <f t="shared" si="10"/>
        <v>773</v>
      </c>
      <c r="G193" s="6">
        <v>319.86</v>
      </c>
      <c r="H193" s="6">
        <v>335.98</v>
      </c>
      <c r="I193" s="6">
        <f t="shared" si="8"/>
        <v>327.92</v>
      </c>
    </row>
    <row r="194" spans="1:9" x14ac:dyDescent="0.25">
      <c r="A194" s="5">
        <v>255.41</v>
      </c>
      <c r="B194" s="5">
        <v>477.78</v>
      </c>
      <c r="C194" s="5">
        <v>390.76</v>
      </c>
      <c r="D194" s="5">
        <v>784.75</v>
      </c>
      <c r="E194" s="5">
        <v>506.79</v>
      </c>
      <c r="F194" s="3">
        <f t="shared" si="10"/>
        <v>773</v>
      </c>
      <c r="G194" s="6">
        <v>313.42</v>
      </c>
      <c r="H194" s="6">
        <v>330.34</v>
      </c>
      <c r="I194" s="6">
        <f t="shared" si="8"/>
        <v>321.88</v>
      </c>
    </row>
    <row r="195" spans="1:9" x14ac:dyDescent="0.25">
      <c r="A195" s="5">
        <v>248.16</v>
      </c>
      <c r="B195" s="5">
        <v>472.95</v>
      </c>
      <c r="C195" s="5">
        <v>389.15</v>
      </c>
      <c r="D195" s="5">
        <v>781.53</v>
      </c>
      <c r="E195" s="5">
        <v>506.79</v>
      </c>
      <c r="F195" s="3">
        <f t="shared" si="10"/>
        <v>773</v>
      </c>
      <c r="G195" s="6">
        <v>311</v>
      </c>
      <c r="H195" s="6">
        <v>324.7</v>
      </c>
      <c r="I195" s="6">
        <f t="shared" si="8"/>
        <v>317.85000000000002</v>
      </c>
    </row>
    <row r="196" spans="1:9" x14ac:dyDescent="0.25">
      <c r="A196" s="5">
        <v>247.35</v>
      </c>
      <c r="B196" s="5">
        <v>468.92</v>
      </c>
      <c r="C196" s="5">
        <v>390.76</v>
      </c>
      <c r="D196" s="5">
        <v>783.95</v>
      </c>
      <c r="E196" s="5">
        <v>505.98</v>
      </c>
      <c r="F196" s="3">
        <f t="shared" si="10"/>
        <v>773</v>
      </c>
      <c r="G196" s="6">
        <v>304.55</v>
      </c>
      <c r="H196" s="6">
        <v>321.47000000000003</v>
      </c>
      <c r="I196" s="6">
        <f t="shared" si="8"/>
        <v>313.01</v>
      </c>
    </row>
    <row r="197" spans="1:9" x14ac:dyDescent="0.25">
      <c r="A197" s="5">
        <v>250.57</v>
      </c>
      <c r="B197" s="5">
        <v>468.92</v>
      </c>
      <c r="C197" s="5">
        <v>390.76</v>
      </c>
      <c r="D197" s="5">
        <v>784.75</v>
      </c>
      <c r="E197" s="5">
        <v>508.4</v>
      </c>
      <c r="F197" s="3">
        <f t="shared" si="10"/>
        <v>773</v>
      </c>
      <c r="G197" s="6">
        <v>300.52999999999997</v>
      </c>
      <c r="H197" s="6">
        <v>315.02999999999997</v>
      </c>
      <c r="I197" s="6">
        <f t="shared" si="8"/>
        <v>307.77999999999997</v>
      </c>
    </row>
    <row r="198" spans="1:9" x14ac:dyDescent="0.25">
      <c r="A198" s="5">
        <v>248.96</v>
      </c>
      <c r="B198" s="5">
        <v>469.72</v>
      </c>
      <c r="C198" s="5">
        <v>389.96</v>
      </c>
      <c r="D198" s="5">
        <v>785.56</v>
      </c>
      <c r="E198" s="5">
        <v>507.59</v>
      </c>
      <c r="F198" s="3">
        <f t="shared" si="10"/>
        <v>773</v>
      </c>
      <c r="G198" s="6">
        <v>296.5</v>
      </c>
      <c r="H198" s="6">
        <v>310.19</v>
      </c>
      <c r="I198" s="6">
        <f t="shared" si="8"/>
        <v>303.34500000000003</v>
      </c>
    </row>
    <row r="199" spans="1:9" x14ac:dyDescent="0.25">
      <c r="A199" s="5">
        <v>243.32</v>
      </c>
      <c r="B199" s="5">
        <v>463.28</v>
      </c>
      <c r="C199" s="5">
        <v>389.96</v>
      </c>
      <c r="D199" s="5">
        <v>781.53</v>
      </c>
      <c r="E199" s="5">
        <v>507.59</v>
      </c>
      <c r="F199" s="3">
        <f t="shared" si="10"/>
        <v>773</v>
      </c>
      <c r="G199" s="6">
        <v>292.47000000000003</v>
      </c>
      <c r="H199" s="6">
        <v>306.17</v>
      </c>
      <c r="I199" s="6">
        <f t="shared" si="8"/>
        <v>299.32000000000005</v>
      </c>
    </row>
    <row r="200" spans="1:9" x14ac:dyDescent="0.25">
      <c r="A200" s="5">
        <v>245.74</v>
      </c>
      <c r="B200" s="5">
        <v>464.08</v>
      </c>
      <c r="C200" s="5">
        <v>390.76</v>
      </c>
      <c r="D200" s="5">
        <v>781.53</v>
      </c>
      <c r="E200" s="5">
        <v>507.59</v>
      </c>
      <c r="F200" s="3">
        <f t="shared" si="10"/>
        <v>773</v>
      </c>
      <c r="G200" s="6">
        <v>287.63</v>
      </c>
      <c r="H200" s="6">
        <v>303.75</v>
      </c>
      <c r="I200" s="6">
        <f t="shared" si="8"/>
        <v>295.69</v>
      </c>
    </row>
    <row r="201" spans="1:9" x14ac:dyDescent="0.25">
      <c r="A201" s="5">
        <v>249.77</v>
      </c>
      <c r="B201" s="5">
        <v>469.72</v>
      </c>
      <c r="C201" s="5">
        <v>389.96</v>
      </c>
      <c r="D201" s="5">
        <v>783.14</v>
      </c>
      <c r="E201" s="5">
        <v>507.59</v>
      </c>
      <c r="F201" s="3">
        <f t="shared" si="10"/>
        <v>773</v>
      </c>
      <c r="G201" s="6">
        <v>282.8</v>
      </c>
      <c r="H201" s="6">
        <v>298.91000000000003</v>
      </c>
      <c r="I201" s="6">
        <f t="shared" si="8"/>
        <v>290.85500000000002</v>
      </c>
    </row>
    <row r="202" spans="1:9" x14ac:dyDescent="0.25">
      <c r="A202" s="5">
        <v>249.77</v>
      </c>
      <c r="B202" s="5">
        <v>467.31</v>
      </c>
      <c r="C202" s="5">
        <v>389.96</v>
      </c>
      <c r="D202" s="5">
        <v>784.75</v>
      </c>
      <c r="E202" s="5">
        <v>506.79</v>
      </c>
      <c r="F202" s="3">
        <f t="shared" si="10"/>
        <v>773</v>
      </c>
      <c r="G202" s="6">
        <v>279.58</v>
      </c>
      <c r="H202" s="6">
        <v>291.66000000000003</v>
      </c>
      <c r="I202" s="6">
        <f t="shared" si="8"/>
        <v>285.62</v>
      </c>
    </row>
    <row r="203" spans="1:9" x14ac:dyDescent="0.25">
      <c r="A203" s="5">
        <v>247.35</v>
      </c>
      <c r="B203" s="5">
        <v>464.89</v>
      </c>
      <c r="C203" s="5">
        <v>390.76</v>
      </c>
      <c r="D203" s="5">
        <v>783.14</v>
      </c>
      <c r="E203" s="5">
        <v>507.59</v>
      </c>
      <c r="F203" s="3">
        <f t="shared" si="10"/>
        <v>773</v>
      </c>
      <c r="G203" s="6">
        <v>274.74</v>
      </c>
      <c r="H203" s="6">
        <v>291.66000000000003</v>
      </c>
      <c r="I203" s="6">
        <f t="shared" si="8"/>
        <v>283.20000000000005</v>
      </c>
    </row>
    <row r="204" spans="1:9" x14ac:dyDescent="0.25">
      <c r="A204" s="5">
        <v>246.54</v>
      </c>
      <c r="B204" s="5">
        <v>460.86</v>
      </c>
      <c r="C204" s="5">
        <v>391.57</v>
      </c>
      <c r="D204" s="5">
        <v>779.92</v>
      </c>
      <c r="E204" s="5">
        <v>507.59</v>
      </c>
      <c r="F204" s="3">
        <f t="shared" si="10"/>
        <v>773</v>
      </c>
      <c r="G204" s="6">
        <v>269.10000000000002</v>
      </c>
      <c r="H204" s="6">
        <v>283.61</v>
      </c>
      <c r="I204" s="6">
        <f t="shared" si="8"/>
        <v>276.35500000000002</v>
      </c>
    </row>
    <row r="205" spans="1:9" x14ac:dyDescent="0.25">
      <c r="A205" s="5">
        <v>245.74</v>
      </c>
      <c r="B205" s="5">
        <v>460.86</v>
      </c>
      <c r="C205" s="5">
        <v>391.57</v>
      </c>
      <c r="D205" s="5">
        <v>780.72</v>
      </c>
      <c r="E205" s="5">
        <v>507.59</v>
      </c>
      <c r="F205" s="3">
        <f t="shared" si="10"/>
        <v>773</v>
      </c>
      <c r="G205" s="6">
        <v>265.88</v>
      </c>
      <c r="H205" s="6">
        <v>280.38</v>
      </c>
      <c r="I205" s="6">
        <f t="shared" si="8"/>
        <v>273.13</v>
      </c>
    </row>
    <row r="206" spans="1:9" x14ac:dyDescent="0.25">
      <c r="A206" s="5">
        <v>248.16</v>
      </c>
      <c r="B206" s="5">
        <v>462.47</v>
      </c>
      <c r="C206" s="5">
        <v>391.57</v>
      </c>
      <c r="D206" s="5">
        <v>780.72</v>
      </c>
      <c r="E206" s="5">
        <v>505.98</v>
      </c>
      <c r="F206" s="3">
        <f t="shared" si="10"/>
        <v>773</v>
      </c>
      <c r="G206" s="6">
        <v>261.05</v>
      </c>
      <c r="H206" s="6">
        <v>276.36</v>
      </c>
      <c r="I206" s="6">
        <f t="shared" si="8"/>
        <v>268.70500000000004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DATALOG</vt:lpstr>
      <vt:lpstr>MT04</vt:lpstr>
      <vt:lpstr>Voltage vs Temp</vt:lpstr>
      <vt:lpstr>LWpow</vt:lpstr>
      <vt:lpstr>MLpow</vt:lpstr>
      <vt:lpstr>MMpow</vt:lpstr>
      <vt:lpstr>MWpow</vt:lpstr>
      <vt:lpstr>Wpow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Dickinson, Matthew - FS, OH</cp:lastModifiedBy>
  <dcterms:created xsi:type="dcterms:W3CDTF">2024-09-26T21:38:20Z</dcterms:created>
  <dcterms:modified xsi:type="dcterms:W3CDTF">2026-02-25T17:02:07Z</dcterms:modified>
</cp:coreProperties>
</file>